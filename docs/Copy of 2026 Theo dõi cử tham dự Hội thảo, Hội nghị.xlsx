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HOSPITAL\Downloads\"/>
    </mc:Choice>
  </mc:AlternateContent>
  <xr:revisionPtr revIDLastSave="0" documentId="8_{5C4EA938-40C1-471C-B845-C9268A1F8766}" xr6:coauthVersionLast="47" xr6:coauthVersionMax="47" xr10:uidLastSave="{00000000-0000-0000-0000-000000000000}"/>
  <bookViews>
    <workbookView xWindow="-120" yWindow="-120" windowWidth="29040" windowHeight="15720" xr2:uid="{00000000-000D-0000-FFFF-FFFF00000000}"/>
  </bookViews>
  <sheets>
    <sheet name="Hội nghị HT" sheetId="16" r:id="rId1"/>
    <sheet name="Tập  huấn NCKH" sheetId="18" r:id="rId2"/>
  </sheets>
  <definedNames>
    <definedName name="_xlnm._FilterDatabase" localSheetId="1" hidden="1">'Tập  huấn NCKH'!$A$3:$T$3</definedName>
    <definedName name="Document_array">{"Book1"}</definedName>
    <definedName name="Document_array_1">{"Book1"}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1" i="16" l="1"/>
  <c r="L41" i="16"/>
  <c r="L40" i="16"/>
  <c r="A5" i="18"/>
  <c r="A6" i="18" s="1"/>
  <c r="A7" i="18" s="1"/>
  <c r="A8" i="18" s="1"/>
  <c r="A9" i="18" s="1"/>
  <c r="A10" i="18" s="1"/>
  <c r="A5" i="16"/>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alcChain>
</file>

<file path=xl/sharedStrings.xml><?xml version="1.0" encoding="utf-8"?>
<sst xmlns="http://schemas.openxmlformats.org/spreadsheetml/2006/main" count="710" uniqueCount="238">
  <si>
    <t>TT</t>
  </si>
  <si>
    <t>Cấp cứu</t>
  </si>
  <si>
    <t>BSCKI</t>
  </si>
  <si>
    <t>Bác sĩ</t>
  </si>
  <si>
    <t>CĐĐD</t>
  </si>
  <si>
    <t>CĐPS</t>
  </si>
  <si>
    <t>Chống độc</t>
  </si>
  <si>
    <t>Công nghệ thông tin</t>
  </si>
  <si>
    <t>Dị ứng - Miễn dịch lâm sàng</t>
  </si>
  <si>
    <t>Lê Thị Hồng Thúy</t>
  </si>
  <si>
    <t>12/11/1995</t>
  </si>
  <si>
    <t>Thạc sĩ</t>
  </si>
  <si>
    <t>BSCK I</t>
  </si>
  <si>
    <t>Gây mê hồi sức</t>
  </si>
  <si>
    <t>Hồi sức tích cực</t>
  </si>
  <si>
    <t>Hồi sức tích cực ngoại khoa</t>
  </si>
  <si>
    <t>Nguyễn Thị Châu</t>
  </si>
  <si>
    <t>16/03/1990</t>
  </si>
  <si>
    <t>Phẫu thuật thần kinh cột sống</t>
  </si>
  <si>
    <t>Huyết học lâm sàng</t>
  </si>
  <si>
    <t>Tiến sĩ</t>
  </si>
  <si>
    <t>Nguyễn Văn Thủy</t>
  </si>
  <si>
    <t>Bác sĩ NT</t>
  </si>
  <si>
    <t>Ngoại tổng hợp 2</t>
  </si>
  <si>
    <t>30/10/1988</t>
  </si>
  <si>
    <t>Nhiễm khuẩn tổng hợp</t>
  </si>
  <si>
    <t>Nguyễn Thị Hiền</t>
  </si>
  <si>
    <t>04/1/1995</t>
  </si>
  <si>
    <t>Nội tim mạch 2</t>
  </si>
  <si>
    <t>Phẫu thuật tim mạch - lồng ngực</t>
  </si>
  <si>
    <t>Lô Thị Hoa</t>
  </si>
  <si>
    <t>10/6/1995</t>
  </si>
  <si>
    <t>Phụ sản</t>
  </si>
  <si>
    <t>Tài chính kế toán</t>
  </si>
  <si>
    <t>Thần kinh</t>
  </si>
  <si>
    <t>Trung tâm Đào tạo và Chỉ đạo tuyến</t>
  </si>
  <si>
    <t>Xquang</t>
  </si>
  <si>
    <t>Nguyễn Quốc Huy</t>
  </si>
  <si>
    <t>09/8/1993</t>
  </si>
  <si>
    <t>20/06/1989</t>
  </si>
  <si>
    <t>13/04/1996</t>
  </si>
  <si>
    <t>Vương Đình Dũng</t>
  </si>
  <si>
    <t>Trần Tú Anh</t>
  </si>
  <si>
    <t>Ngoại thận - Tiết niệu</t>
  </si>
  <si>
    <t>Nguyễn Hữu Việt Anh</t>
  </si>
  <si>
    <t>25/08/1989</t>
  </si>
  <si>
    <t>Nội tiết</t>
  </si>
  <si>
    <t>Trung tâm Đột quỵ</t>
  </si>
  <si>
    <t>BSCK II</t>
  </si>
  <si>
    <t>Vi sinh</t>
  </si>
  <si>
    <t>Nguyễn Huy Toàn</t>
  </si>
  <si>
    <t>Phạm Đức Quang</t>
  </si>
  <si>
    <t>Lê Xuân Vựng</t>
  </si>
  <si>
    <t>Bệnh viện Bạch Mai</t>
  </si>
  <si>
    <t>Bệnh viện Hữu nghị Việt Đức</t>
  </si>
  <si>
    <t>Dược</t>
  </si>
  <si>
    <t>MNV</t>
  </si>
  <si>
    <t>Họ tên</t>
  </si>
  <si>
    <t>Ngày tháng
năm sinh</t>
  </si>
  <si>
    <t>Khoa phòng Trung tâm</t>
  </si>
  <si>
    <t>Lương Mạnh Hùng</t>
  </si>
  <si>
    <t>Lê Anh Tuấn</t>
  </si>
  <si>
    <t>Cù Nam Thắng</t>
  </si>
  <si>
    <t>Nguyễn Văn Phúc</t>
  </si>
  <si>
    <t>Ban giám đốc</t>
  </si>
  <si>
    <t>Hồ Văn Hoàng</t>
  </si>
  <si>
    <t>Hội nghị</t>
  </si>
  <si>
    <t>Bệnh viện đa khoa Tâm Anh</t>
  </si>
  <si>
    <t>09-10/012026</t>
  </si>
  <si>
    <t>Trần Văn Thông</t>
  </si>
  <si>
    <t>Trịnh Xuân Nam</t>
  </si>
  <si>
    <t>Thu thập số liệu NCKH</t>
  </si>
  <si>
    <t>Nguyễn Đức Phúc</t>
  </si>
  <si>
    <t>Nguyễn Hữu Tân</t>
  </si>
  <si>
    <t>Ngô Văn Thiết</t>
  </si>
  <si>
    <t>Lê Tiến Viện</t>
  </si>
  <si>
    <t>Nguyễn Thị Diễm Hương</t>
  </si>
  <si>
    <t>Hình thức</t>
  </si>
  <si>
    <t>Cơ sở hạ tầng và trang thiết bị</t>
  </si>
  <si>
    <t>Nguyễn Hữu Thành</t>
  </si>
  <si>
    <t>Nội dung</t>
  </si>
  <si>
    <t xml:space="preserve">Địa điểm </t>
  </si>
  <si>
    <t>Hoàng Kim Tuấn</t>
  </si>
  <si>
    <t>Phẫu thuật thần kinh trẻ em Việt Nam và Hội nghị Điều dưỡng thần kinh Châu Á</t>
  </si>
  <si>
    <t>Bệnh viện Quân Y 103</t>
  </si>
  <si>
    <t>05-06/06/2026</t>
  </si>
  <si>
    <t>Trần Văn Trung</t>
  </si>
  <si>
    <t>Hội thảo khoa học</t>
  </si>
  <si>
    <t>Ứng dụng phẫu thuật nội soi trong ghép gan</t>
  </si>
  <si>
    <t>Bệnh viện Trung ương Quân đội 108</t>
  </si>
  <si>
    <t>05/06/2026</t>
  </si>
  <si>
    <t>Phạm Minh Tuấn</t>
  </si>
  <si>
    <t>Bệnh viện Trung ương Quân đội 109</t>
  </si>
  <si>
    <t>Hội thảo quốc tế</t>
  </si>
  <si>
    <t>Công nghệ tiên tiến trong Phẫu thuật cột sống</t>
  </si>
  <si>
    <t>Bệnh viện Đại học Y dược, Đại học quốc gia</t>
  </si>
  <si>
    <t>25/05/2026</t>
  </si>
  <si>
    <t>Trần Trung Kiên</t>
  </si>
  <si>
    <t>Ngô Văn Thành</t>
  </si>
  <si>
    <t>Nguyễn Đình Đức</t>
  </si>
  <si>
    <t>Nguyễn An Mậm</t>
  </si>
  <si>
    <t>Hội nghị khoa học</t>
  </si>
  <si>
    <t>Điện quang can thiệp lần thứ 13 năm 2026</t>
  </si>
  <si>
    <t>Khách sạn Mường Thanh Luxury Quảng Ninh</t>
  </si>
  <si>
    <t>17/04/2026</t>
  </si>
  <si>
    <t>Đại hội Phẫu thuật cột sống lần thứ 2, Hội nghị khoa học thường niên Hội phẫu thuật cột sống Việt Nam lần thứ 4 kết hợp khóa đào tạo Phẫu thuật cột sống Châu Á - Thái Bình Dương</t>
  </si>
  <si>
    <t>16/04/2026</t>
  </si>
  <si>
    <t>Trần Phương</t>
  </si>
  <si>
    <t>Hội thảo</t>
  </si>
  <si>
    <t>Xây dựng kinh  phí cho kỹ thuật ghép tạng từ người hiến chết não, khó khăn, thách thức và kinh nghiệm thực tế</t>
  </si>
  <si>
    <t>31/03/2026</t>
  </si>
  <si>
    <t>Quốc tế phòng chống bệnh không lây nhiễm và Lễ kỷ niệm 45 năm thành lập Trung tâm Hô hấp</t>
  </si>
  <si>
    <t>26/03/2026</t>
  </si>
  <si>
    <t>27/03/2026</t>
  </si>
  <si>
    <t>Nguyễn Vĩnh Hải</t>
  </si>
  <si>
    <t>Nội dị ứng - hô hấp</t>
  </si>
  <si>
    <t>Lê Quang Toàn</t>
  </si>
  <si>
    <t>Hồ Thị Hoài Thương</t>
  </si>
  <si>
    <t>Nguyễn Bá Thái</t>
  </si>
  <si>
    <t>Trương Đình Tài</t>
  </si>
  <si>
    <t>Nguyễn Hải Đăng</t>
  </si>
  <si>
    <t>Nguyễn Văn Long</t>
  </si>
  <si>
    <t>Đại học Y Dược Thành phố Hồ Chí Minh</t>
  </si>
  <si>
    <t>Phạm Văn Đồng</t>
  </si>
  <si>
    <t>bác sĩ NT</t>
  </si>
  <si>
    <t>CN KT</t>
  </si>
  <si>
    <t>17/7/2026</t>
  </si>
  <si>
    <t>01/8/1986</t>
  </si>
  <si>
    <t>01/01/1996</t>
  </si>
  <si>
    <t>18/8/1996</t>
  </si>
  <si>
    <t>12/9/1984</t>
  </si>
  <si>
    <t>TĐCM</t>
  </si>
  <si>
    <t>Hà</t>
  </si>
  <si>
    <t>Bác sĩ y, đa khoa</t>
  </si>
  <si>
    <t>19/10/1990</t>
  </si>
  <si>
    <t>09/12/1989</t>
  </si>
  <si>
    <t>11/01/1991</t>
  </si>
  <si>
    <t>05/7/1995</t>
  </si>
  <si>
    <t>25/04/1991</t>
  </si>
  <si>
    <t>Kỹ sư công nghệ thông tin</t>
  </si>
  <si>
    <t>Lái xe</t>
  </si>
  <si>
    <t>Cử nhân điều dưỡng</t>
  </si>
  <si>
    <t>Thời gian tham gia</t>
  </si>
  <si>
    <t>DANH SÁCH CÁN BỘ THAM DỰ HỘI NGHỊ, HỘI THẢO NĂM 2026</t>
  </si>
  <si>
    <t>DANH SÁCH TẬP HUẤN NCKH NĂM 2026</t>
  </si>
  <si>
    <t>Nguyễn Ngọc Dung</t>
  </si>
  <si>
    <t>Công tác xã hội</t>
  </si>
  <si>
    <t>Hiến, ghép tạng lần thứ 3</t>
  </si>
  <si>
    <t>Y học trong kỷ nguyên phát triển bền vững"</t>
  </si>
  <si>
    <t>Thực trạng công tác Truyền thông – giáo dục sức khỏe trong phòng, chống tác hại của thuốc lá</t>
  </si>
  <si>
    <t>Khánh Hòa</t>
  </si>
  <si>
    <t>25/6/2026</t>
  </si>
  <si>
    <t>Đoàn kết khu vực, tác động toàn cầu</t>
  </si>
  <si>
    <t>Nguyễn Đức Vương</t>
  </si>
  <si>
    <t>Hoàng Thành Trung</t>
  </si>
  <si>
    <t xml:space="preserve">Nguyễn Phan Chương </t>
  </si>
  <si>
    <t>Đà Nẵng</t>
  </si>
  <si>
    <t>25-27/6/2026</t>
  </si>
  <si>
    <t xml:space="preserve">  Đinh Thị Kim Thư</t>
  </si>
  <si>
    <t xml:space="preserve"> Ngô Thị Lan Anh</t>
  </si>
  <si>
    <t>Đánh giá hoạt động Hiến, lấy, ghép mô tạng 6 tháng đầu năm và kế hoạch phát triển 6 tháng cuối năm 2026</t>
  </si>
  <si>
    <t>Nguyễn Ngọc Hòa</t>
  </si>
  <si>
    <t>Nguyễn Thanh Long</t>
  </si>
  <si>
    <t>Trần Anh Đào</t>
  </si>
  <si>
    <t>Triển khai mô hình cấp cứu đột quỵ não tại bệnh viện cấp cơ bản trên địa bàn tỉnh Thanh Hóa</t>
  </si>
  <si>
    <t>Thanh Hóa</t>
  </si>
  <si>
    <t>Hà Nội</t>
  </si>
  <si>
    <t>Lộc</t>
  </si>
  <si>
    <t>Lương Quốc Tuấn</t>
  </si>
  <si>
    <t>Nguyễn Thị Thanh Thủy</t>
  </si>
  <si>
    <t>Dương Thị Thanh</t>
  </si>
  <si>
    <t>Lê Thị Hương Giang</t>
  </si>
  <si>
    <t>Hoàng Thị Thanh Huyền</t>
  </si>
  <si>
    <t>Trần Thị Dịu</t>
  </si>
  <si>
    <t>Lê Thị Tú Uyên</t>
  </si>
  <si>
    <t>Trần Thị Thu Hằng</t>
  </si>
  <si>
    <t>Nguyễn Thị Thanh Hoa</t>
  </si>
  <si>
    <t>Lê Thị Mỹ Hạnh</t>
  </si>
  <si>
    <t>Đào Thị Hằng</t>
  </si>
  <si>
    <t>Tăng Thị Thuý</t>
  </si>
  <si>
    <t>Lê Thị Hải Lý</t>
  </si>
  <si>
    <t>Nguyễn Thị Phương Thảo</t>
  </si>
  <si>
    <t>Võ Thị Bích Ngọc</t>
  </si>
  <si>
    <t>Dương Hồng Hà</t>
  </si>
  <si>
    <t>Đào Minh Chiến</t>
  </si>
  <si>
    <t>Phạm Tuấn Hoàng</t>
  </si>
  <si>
    <t>Lê Thị Hồng Lam</t>
  </si>
  <si>
    <t>Lê Thị Tâm</t>
  </si>
  <si>
    <t>Lê Chí Bảo Trung</t>
  </si>
  <si>
    <t>Lê Tiến Long</t>
  </si>
  <si>
    <t>Nguyễn Thị Hiếu</t>
  </si>
  <si>
    <t>Nguyễn Tống Ái Linh</t>
  </si>
  <si>
    <t>Trịnh Xuân Anh Thông</t>
  </si>
  <si>
    <t>Trần Thảo My</t>
  </si>
  <si>
    <t>Nguyễn Thị Hoài Thương</t>
  </si>
  <si>
    <t xml:space="preserve">Ngày 31/7 và 01/8/2026 </t>
  </si>
  <si>
    <t>Sở y tế Nghệ An</t>
  </si>
  <si>
    <t>Cập nhật các quy định mới trong lĩnh vực dược và chia sẻ các nội dung chuyên môn về công tác dược bệnh viện, dược lâm sàng, ứng dụng công nghệ thông tin, trí tuệ nhân tạo trong hoạt động dược</t>
  </si>
  <si>
    <t xml:space="preserve"> Nguyễn Huy Toàn</t>
  </si>
  <si>
    <t>18/7/2026</t>
  </si>
  <si>
    <t>Kết nối y tế, nâng cao chất lượng phẫu thuật và can thiệp điều trị bệnh lý gan mật tụy</t>
  </si>
  <si>
    <t xml:space="preserve"> Võ Thị Thu Phương</t>
  </si>
  <si>
    <t>Nguyễn Thị Quỳnh Anh</t>
  </si>
  <si>
    <t>Hồ Thị Ánh</t>
  </si>
  <si>
    <t>Trần Thị Thuận</t>
  </si>
  <si>
    <r>
      <rPr>
        <b/>
        <sz val="7"/>
        <color theme="1"/>
        <rFont val="Times New Roman"/>
        <family val="1"/>
      </rPr>
      <t xml:space="preserve">  </t>
    </r>
    <r>
      <rPr>
        <sz val="14"/>
        <color theme="1"/>
        <rFont val="Times New Roman"/>
        <family val="1"/>
      </rPr>
      <t>Nâng cao chất lượng dịch vụ hộ sinh từ lý thuyết đến thực tiễn</t>
    </r>
  </si>
  <si>
    <t>20-21/8/2026</t>
  </si>
  <si>
    <t>Đinh Văn Chiến</t>
  </si>
  <si>
    <t>PT dạ dày</t>
  </si>
  <si>
    <t>Huế</t>
  </si>
  <si>
    <t>Tổng kết công tác chỉ đạo chuyên môn kỹ thuật</t>
  </si>
  <si>
    <t>Hội nghị khoa học thường niên - Hội Hồi sức cấp cứu Thành phố Hồ Chí Minh năm 2026</t>
  </si>
  <si>
    <t>21-22/8/2026</t>
  </si>
  <si>
    <t xml:space="preserve">Nguyễn Thị Thùy </t>
  </si>
  <si>
    <t>Thalasemina</t>
  </si>
  <si>
    <t>LêThị Kim Dung</t>
  </si>
  <si>
    <t>Chấn thương - chỉnh hình</t>
  </si>
  <si>
    <t>03/4/1983</t>
  </si>
  <si>
    <t>15/08/1994</t>
  </si>
  <si>
    <t xml:space="preserve">Tổ công tác xã hội </t>
  </si>
  <si>
    <t>DSCK II</t>
  </si>
  <si>
    <t>30/04/1989</t>
  </si>
  <si>
    <t>Thạc sĩ dược</t>
  </si>
  <si>
    <t>23/07/1992</t>
  </si>
  <si>
    <t>DSCK I</t>
  </si>
  <si>
    <t>27/8/1995</t>
  </si>
  <si>
    <t>DSĐH</t>
  </si>
  <si>
    <t>22/7/1996</t>
  </si>
  <si>
    <t>23/03/1999</t>
  </si>
  <si>
    <t>09/4/1997</t>
  </si>
  <si>
    <t>26/8/1999</t>
  </si>
  <si>
    <t>29/01/1994</t>
  </si>
  <si>
    <t>HS CKI</t>
  </si>
  <si>
    <t>12/05/1990</t>
  </si>
  <si>
    <t>14/9/1979</t>
  </si>
  <si>
    <t>Ban Giám đốc</t>
  </si>
  <si>
    <t>Ths SH</t>
  </si>
  <si>
    <t>1989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</si>
</sst>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63"/>
      <scheme val="minor"/>
    </font>
    <font>
      <sz val="10"/>
      <name val="Arial"/>
      <family val="2"/>
    </font>
    <font>
      <sz val="11"/>
      <color theme="1"/>
      <name val="Calibri"/>
      <family val="2"/>
      <scheme val="minor"/>
    </font>
    <font>
      <sz val="14"/>
      <name val="Times New Roman"/>
      <family val="1"/>
    </font>
    <font>
      <sz val="14"/>
      <color theme="1"/>
      <name val="Times New Roman"/>
      <family val="1"/>
    </font>
    <font>
      <b/>
      <sz val="14"/>
      <color theme="1"/>
      <name val="Times New Roman"/>
      <family val="1"/>
    </font>
    <font>
      <sz val="13"/>
      <color theme="1"/>
      <name val="Times New Roman"/>
      <family val="1"/>
    </font>
    <font>
      <b/>
      <sz val="14"/>
      <name val="Times New Roman"/>
      <family val="1"/>
    </font>
    <font>
      <sz val="14"/>
      <color rgb="FF000000"/>
      <name val="Times New Roman"/>
      <family val="1"/>
    </font>
    <font>
      <b/>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6F8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1" fillId="0" borderId="0"/>
  </cellStyleXfs>
  <cellXfs count="37">
    <xf numFmtId="0" fontId="0" fillId="0" borderId="0" xfId="0"/>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6"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14" fontId="4" fillId="0" borderId="1" xfId="0" applyNumberFormat="1" applyFont="1" applyBorder="1" applyAlignment="1">
      <alignment horizontal="center"/>
    </xf>
    <xf numFmtId="0" fontId="3" fillId="0" borderId="1" xfId="0" applyFont="1" applyBorder="1" applyAlignment="1">
      <alignment horizontal="center"/>
    </xf>
    <xf numFmtId="0" fontId="3" fillId="0" borderId="0" xfId="0" applyFont="1"/>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2" borderId="1" xfId="0" quotePrefix="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wrapText="1"/>
    </xf>
    <xf numFmtId="0" fontId="3" fillId="0" borderId="0" xfId="0" applyFont="1" applyAlignment="1">
      <alignment horizontal="left"/>
    </xf>
    <xf numFmtId="14" fontId="3" fillId="0" borderId="0" xfId="0" applyNumberFormat="1" applyFont="1"/>
    <xf numFmtId="0" fontId="3" fillId="0" borderId="0" xfId="0" applyFont="1" applyAlignment="1">
      <alignment horizontal="center"/>
    </xf>
    <xf numFmtId="0" fontId="3" fillId="0" borderId="1" xfId="0" applyFont="1" applyBorder="1"/>
    <xf numFmtId="14" fontId="3" fillId="0" borderId="1" xfId="0" applyNumberFormat="1" applyFont="1" applyBorder="1"/>
    <xf numFmtId="0" fontId="6" fillId="0" borderId="1" xfId="0" applyFont="1" applyBorder="1" applyAlignment="1">
      <alignment horizontal="justify"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8" fillId="4" borderId="1" xfId="0" applyFont="1" applyFill="1" applyBorder="1" applyAlignment="1">
      <alignment horizontal="center" vertical="center" wrapText="1"/>
    </xf>
    <xf numFmtId="14" fontId="3" fillId="0" borderId="1" xfId="0" quotePrefix="1" applyNumberFormat="1" applyFont="1" applyBorder="1"/>
    <xf numFmtId="0" fontId="3" fillId="0" borderId="1" xfId="0" applyFont="1" applyBorder="1" applyAlignment="1">
      <alignment horizontal="center" wrapText="1"/>
    </xf>
    <xf numFmtId="0" fontId="3" fillId="0" borderId="0" xfId="0" applyFont="1" applyAlignment="1">
      <alignment horizontal="center" wrapText="1"/>
    </xf>
    <xf numFmtId="0" fontId="7" fillId="0" borderId="0" xfId="0" applyFont="1" applyAlignment="1">
      <alignment horizontal="center"/>
    </xf>
  </cellXfs>
  <cellStyles count="5">
    <cellStyle name="Normal" xfId="0" builtinId="0"/>
    <cellStyle name="Normal 2" xfId="4" xr:uid="{00000000-0005-0000-0000-000001000000}"/>
    <cellStyle name="Normal 2 3" xfId="3" xr:uid="{00000000-0005-0000-0000-000002000000}"/>
    <cellStyle name="Normal 3" xfId="1" xr:uid="{00000000-0005-0000-0000-000003000000}"/>
    <cellStyle name="Normal 5"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tabSelected="1" workbookViewId="0">
      <selection activeCell="J3" sqref="J3"/>
    </sheetView>
  </sheetViews>
  <sheetFormatPr defaultColWidth="8.85546875" defaultRowHeight="18.75" x14ac:dyDescent="0.3"/>
  <cols>
    <col min="1" max="1" width="5.5703125" style="12" customWidth="1"/>
    <col min="2" max="2" width="8.85546875" style="26"/>
    <col min="3" max="3" width="15.5703125" style="35" customWidth="1"/>
    <col min="4" max="4" width="25.28515625" style="24" customWidth="1"/>
    <col min="5" max="5" width="15.28515625" style="25" customWidth="1"/>
    <col min="6" max="6" width="20.5703125" style="26" customWidth="1"/>
    <col min="7" max="7" width="19.140625" style="12" customWidth="1"/>
    <col min="8" max="8" width="46.7109375" style="35" customWidth="1"/>
    <col min="9" max="9" width="39.28515625" style="35" customWidth="1"/>
    <col min="10" max="10" width="16.85546875" style="26" customWidth="1"/>
    <col min="11" max="16384" width="8.85546875" style="12"/>
  </cols>
  <sheetData>
    <row r="1" spans="1:11" x14ac:dyDescent="0.3">
      <c r="A1" s="36" t="s">
        <v>143</v>
      </c>
      <c r="B1" s="36"/>
      <c r="C1" s="36"/>
      <c r="D1" s="36"/>
      <c r="E1" s="36"/>
      <c r="F1" s="36"/>
      <c r="G1" s="36"/>
      <c r="H1" s="36"/>
      <c r="I1" s="36"/>
      <c r="J1" s="36"/>
    </row>
    <row r="3" spans="1:11" ht="39" customHeight="1" x14ac:dyDescent="0.3">
      <c r="A3" s="13" t="s">
        <v>0</v>
      </c>
      <c r="B3" s="13" t="s">
        <v>56</v>
      </c>
      <c r="C3" s="13" t="s">
        <v>59</v>
      </c>
      <c r="D3" s="14" t="s">
        <v>57</v>
      </c>
      <c r="E3" s="15" t="s">
        <v>58</v>
      </c>
      <c r="F3" s="16" t="s">
        <v>131</v>
      </c>
      <c r="G3" s="13" t="s">
        <v>77</v>
      </c>
      <c r="H3" s="13" t="s">
        <v>80</v>
      </c>
      <c r="I3" s="13" t="s">
        <v>81</v>
      </c>
      <c r="J3" s="13" t="s">
        <v>142</v>
      </c>
    </row>
    <row r="4" spans="1:11" ht="39" customHeight="1" x14ac:dyDescent="0.3">
      <c r="A4" s="17">
        <v>1</v>
      </c>
      <c r="B4" s="17">
        <v>496</v>
      </c>
      <c r="C4" s="17" t="s">
        <v>18</v>
      </c>
      <c r="D4" s="18" t="s">
        <v>82</v>
      </c>
      <c r="E4" s="19">
        <v>29013</v>
      </c>
      <c r="F4" s="17" t="s">
        <v>20</v>
      </c>
      <c r="G4" s="17" t="s">
        <v>66</v>
      </c>
      <c r="H4" s="17" t="s">
        <v>83</v>
      </c>
      <c r="I4" s="17" t="s">
        <v>84</v>
      </c>
      <c r="J4" s="20" t="s">
        <v>85</v>
      </c>
      <c r="K4" s="12" t="s">
        <v>167</v>
      </c>
    </row>
    <row r="5" spans="1:11" ht="39" customHeight="1" x14ac:dyDescent="0.3">
      <c r="A5" s="17">
        <f>A4+1</f>
        <v>2</v>
      </c>
      <c r="B5" s="17">
        <v>2043</v>
      </c>
      <c r="C5" s="17" t="s">
        <v>18</v>
      </c>
      <c r="D5" s="18" t="s">
        <v>86</v>
      </c>
      <c r="E5" s="19">
        <v>35651</v>
      </c>
      <c r="F5" s="17" t="s">
        <v>133</v>
      </c>
      <c r="G5" s="17" t="s">
        <v>66</v>
      </c>
      <c r="H5" s="17" t="s">
        <v>83</v>
      </c>
      <c r="I5" s="17" t="s">
        <v>84</v>
      </c>
      <c r="J5" s="20" t="s">
        <v>85</v>
      </c>
      <c r="K5" s="12" t="s">
        <v>167</v>
      </c>
    </row>
    <row r="6" spans="1:11" ht="39" customHeight="1" x14ac:dyDescent="0.3">
      <c r="A6" s="17">
        <f t="shared" ref="A6:A44" si="0">A5+1</f>
        <v>3</v>
      </c>
      <c r="B6" s="17">
        <v>1025</v>
      </c>
      <c r="C6" s="17" t="s">
        <v>23</v>
      </c>
      <c r="D6" s="18" t="s">
        <v>50</v>
      </c>
      <c r="E6" s="19" t="s">
        <v>130</v>
      </c>
      <c r="F6" s="17" t="s">
        <v>20</v>
      </c>
      <c r="G6" s="17" t="s">
        <v>87</v>
      </c>
      <c r="H6" s="17" t="s">
        <v>88</v>
      </c>
      <c r="I6" s="17" t="s">
        <v>89</v>
      </c>
      <c r="J6" s="20" t="s">
        <v>90</v>
      </c>
      <c r="K6" s="12" t="s">
        <v>167</v>
      </c>
    </row>
    <row r="7" spans="1:11" ht="39" customHeight="1" x14ac:dyDescent="0.3">
      <c r="A7" s="17">
        <f t="shared" si="0"/>
        <v>4</v>
      </c>
      <c r="B7" s="17">
        <v>1120</v>
      </c>
      <c r="C7" s="17" t="s">
        <v>23</v>
      </c>
      <c r="D7" s="18" t="s">
        <v>91</v>
      </c>
      <c r="E7" s="19" t="s">
        <v>134</v>
      </c>
      <c r="F7" s="17" t="s">
        <v>11</v>
      </c>
      <c r="G7" s="17" t="s">
        <v>87</v>
      </c>
      <c r="H7" s="17" t="s">
        <v>88</v>
      </c>
      <c r="I7" s="17" t="s">
        <v>92</v>
      </c>
      <c r="J7" s="20" t="s">
        <v>90</v>
      </c>
      <c r="K7" s="12" t="s">
        <v>167</v>
      </c>
    </row>
    <row r="8" spans="1:11" ht="39" customHeight="1" x14ac:dyDescent="0.3">
      <c r="A8" s="17">
        <f t="shared" si="0"/>
        <v>5</v>
      </c>
      <c r="B8" s="17">
        <v>659</v>
      </c>
      <c r="C8" s="17" t="s">
        <v>15</v>
      </c>
      <c r="D8" s="18" t="s">
        <v>61</v>
      </c>
      <c r="E8" s="19">
        <v>29687</v>
      </c>
      <c r="F8" s="17" t="s">
        <v>48</v>
      </c>
      <c r="G8" s="17"/>
      <c r="H8" s="17"/>
      <c r="I8" s="17"/>
      <c r="J8" s="17"/>
      <c r="K8" s="12" t="s">
        <v>167</v>
      </c>
    </row>
    <row r="9" spans="1:11" ht="39" customHeight="1" x14ac:dyDescent="0.3">
      <c r="A9" s="17">
        <f t="shared" si="0"/>
        <v>6</v>
      </c>
      <c r="B9" s="17">
        <v>496</v>
      </c>
      <c r="C9" s="17" t="s">
        <v>18</v>
      </c>
      <c r="D9" s="18" t="s">
        <v>82</v>
      </c>
      <c r="E9" s="19">
        <v>29013</v>
      </c>
      <c r="F9" s="17" t="s">
        <v>20</v>
      </c>
      <c r="G9" s="17" t="s">
        <v>93</v>
      </c>
      <c r="H9" s="17" t="s">
        <v>94</v>
      </c>
      <c r="I9" s="17" t="s">
        <v>95</v>
      </c>
      <c r="J9" s="20" t="s">
        <v>96</v>
      </c>
      <c r="K9" s="12" t="s">
        <v>167</v>
      </c>
    </row>
    <row r="10" spans="1:11" ht="39" customHeight="1" x14ac:dyDescent="0.3">
      <c r="A10" s="17">
        <f t="shared" si="0"/>
        <v>7</v>
      </c>
      <c r="B10" s="17">
        <v>499</v>
      </c>
      <c r="C10" s="17" t="s">
        <v>18</v>
      </c>
      <c r="D10" s="18" t="s">
        <v>97</v>
      </c>
      <c r="E10" s="19">
        <v>31184</v>
      </c>
      <c r="F10" s="17" t="s">
        <v>48</v>
      </c>
      <c r="G10" s="17" t="s">
        <v>93</v>
      </c>
      <c r="H10" s="17" t="s">
        <v>94</v>
      </c>
      <c r="I10" s="17" t="s">
        <v>95</v>
      </c>
      <c r="J10" s="20" t="s">
        <v>96</v>
      </c>
      <c r="K10" s="12" t="s">
        <v>167</v>
      </c>
    </row>
    <row r="11" spans="1:11" ht="39" customHeight="1" x14ac:dyDescent="0.3">
      <c r="A11" s="17">
        <f t="shared" si="0"/>
        <v>8</v>
      </c>
      <c r="B11" s="17">
        <v>1133</v>
      </c>
      <c r="C11" s="17" t="s">
        <v>18</v>
      </c>
      <c r="D11" s="18" t="s">
        <v>98</v>
      </c>
      <c r="E11" s="19" t="s">
        <v>135</v>
      </c>
      <c r="F11" s="17" t="s">
        <v>11</v>
      </c>
      <c r="G11" s="17" t="s">
        <v>93</v>
      </c>
      <c r="H11" s="17" t="s">
        <v>94</v>
      </c>
      <c r="I11" s="17" t="s">
        <v>95</v>
      </c>
      <c r="J11" s="20" t="s">
        <v>96</v>
      </c>
      <c r="K11" s="12" t="s">
        <v>167</v>
      </c>
    </row>
    <row r="12" spans="1:11" ht="39" customHeight="1" x14ac:dyDescent="0.3">
      <c r="A12" s="17">
        <f t="shared" si="0"/>
        <v>9</v>
      </c>
      <c r="B12" s="17">
        <v>1364</v>
      </c>
      <c r="C12" s="17" t="s">
        <v>18</v>
      </c>
      <c r="D12" s="18" t="s">
        <v>99</v>
      </c>
      <c r="E12" s="19">
        <v>33893</v>
      </c>
      <c r="F12" s="17" t="s">
        <v>11</v>
      </c>
      <c r="G12" s="17" t="s">
        <v>93</v>
      </c>
      <c r="H12" s="17" t="s">
        <v>94</v>
      </c>
      <c r="I12" s="17" t="s">
        <v>95</v>
      </c>
      <c r="J12" s="20" t="s">
        <v>96</v>
      </c>
      <c r="K12" s="12" t="s">
        <v>167</v>
      </c>
    </row>
    <row r="13" spans="1:11" ht="39" customHeight="1" x14ac:dyDescent="0.3">
      <c r="A13" s="17">
        <f t="shared" si="0"/>
        <v>10</v>
      </c>
      <c r="B13" s="17">
        <v>2041</v>
      </c>
      <c r="C13" s="17" t="s">
        <v>18</v>
      </c>
      <c r="D13" s="18" t="s">
        <v>100</v>
      </c>
      <c r="E13" s="19">
        <v>36394</v>
      </c>
      <c r="F13" s="17" t="s">
        <v>133</v>
      </c>
      <c r="G13" s="17" t="s">
        <v>93</v>
      </c>
      <c r="H13" s="17" t="s">
        <v>94</v>
      </c>
      <c r="I13" s="17" t="s">
        <v>95</v>
      </c>
      <c r="J13" s="20" t="s">
        <v>96</v>
      </c>
      <c r="K13" s="12" t="s">
        <v>167</v>
      </c>
    </row>
    <row r="14" spans="1:11" ht="39" customHeight="1" x14ac:dyDescent="0.3">
      <c r="A14" s="17">
        <f t="shared" si="0"/>
        <v>11</v>
      </c>
      <c r="B14" s="17">
        <v>1656</v>
      </c>
      <c r="C14" s="17" t="s">
        <v>36</v>
      </c>
      <c r="D14" s="18" t="s">
        <v>37</v>
      </c>
      <c r="E14" s="19" t="s">
        <v>38</v>
      </c>
      <c r="F14" s="17" t="s">
        <v>3</v>
      </c>
      <c r="G14" s="17" t="s">
        <v>101</v>
      </c>
      <c r="H14" s="17" t="s">
        <v>102</v>
      </c>
      <c r="I14" s="17" t="s">
        <v>103</v>
      </c>
      <c r="J14" s="20" t="s">
        <v>104</v>
      </c>
      <c r="K14" s="12" t="s">
        <v>167</v>
      </c>
    </row>
    <row r="15" spans="1:11" ht="69.75" customHeight="1" x14ac:dyDescent="0.3">
      <c r="A15" s="17">
        <f t="shared" si="0"/>
        <v>12</v>
      </c>
      <c r="B15" s="17">
        <v>1364</v>
      </c>
      <c r="C15" s="17" t="s">
        <v>18</v>
      </c>
      <c r="D15" s="18" t="s">
        <v>99</v>
      </c>
      <c r="E15" s="19">
        <v>33893</v>
      </c>
      <c r="F15" s="17" t="s">
        <v>11</v>
      </c>
      <c r="G15" s="17" t="s">
        <v>101</v>
      </c>
      <c r="H15" s="17" t="s">
        <v>105</v>
      </c>
      <c r="I15" s="17" t="s">
        <v>54</v>
      </c>
      <c r="J15" s="20" t="s">
        <v>106</v>
      </c>
      <c r="K15" s="12" t="s">
        <v>167</v>
      </c>
    </row>
    <row r="16" spans="1:11" ht="39" customHeight="1" x14ac:dyDescent="0.3">
      <c r="A16" s="17">
        <f t="shared" si="0"/>
        <v>13</v>
      </c>
      <c r="B16" s="17">
        <v>319</v>
      </c>
      <c r="C16" s="17" t="s">
        <v>14</v>
      </c>
      <c r="D16" s="18" t="s">
        <v>72</v>
      </c>
      <c r="E16" s="19">
        <v>25601</v>
      </c>
      <c r="F16" s="17" t="s">
        <v>20</v>
      </c>
      <c r="G16" s="17"/>
      <c r="H16" s="17"/>
      <c r="I16" s="17"/>
      <c r="J16" s="17"/>
      <c r="K16" s="12" t="s">
        <v>167</v>
      </c>
    </row>
    <row r="17" spans="1:11" ht="39" customHeight="1" x14ac:dyDescent="0.3">
      <c r="A17" s="17">
        <f t="shared" si="0"/>
        <v>14</v>
      </c>
      <c r="B17" s="17">
        <v>658</v>
      </c>
      <c r="C17" s="17" t="s">
        <v>15</v>
      </c>
      <c r="D17" s="18" t="s">
        <v>60</v>
      </c>
      <c r="E17" s="19">
        <v>29531</v>
      </c>
      <c r="F17" s="17" t="s">
        <v>48</v>
      </c>
      <c r="G17" s="17"/>
      <c r="H17" s="17"/>
      <c r="I17" s="17"/>
      <c r="J17" s="17"/>
      <c r="K17" s="12" t="s">
        <v>167</v>
      </c>
    </row>
    <row r="18" spans="1:11" ht="39" customHeight="1" x14ac:dyDescent="0.3">
      <c r="A18" s="17">
        <f t="shared" si="0"/>
        <v>15</v>
      </c>
      <c r="B18" s="17">
        <v>901</v>
      </c>
      <c r="C18" s="17" t="s">
        <v>14</v>
      </c>
      <c r="D18" s="18" t="s">
        <v>107</v>
      </c>
      <c r="E18" s="19">
        <v>31643</v>
      </c>
      <c r="F18" s="17" t="s">
        <v>48</v>
      </c>
      <c r="G18" s="17"/>
      <c r="H18" s="17"/>
      <c r="I18" s="17"/>
      <c r="J18" s="17"/>
      <c r="K18" s="12" t="s">
        <v>167</v>
      </c>
    </row>
    <row r="19" spans="1:11" ht="39" customHeight="1" x14ac:dyDescent="0.3">
      <c r="A19" s="17">
        <f t="shared" si="0"/>
        <v>16</v>
      </c>
      <c r="B19" s="17">
        <v>661</v>
      </c>
      <c r="C19" s="17" t="s">
        <v>6</v>
      </c>
      <c r="D19" s="18" t="s">
        <v>21</v>
      </c>
      <c r="E19" s="19">
        <v>30916</v>
      </c>
      <c r="F19" s="17" t="s">
        <v>48</v>
      </c>
      <c r="G19" s="17"/>
      <c r="H19" s="17"/>
      <c r="I19" s="17"/>
      <c r="J19" s="17"/>
      <c r="K19" s="12" t="s">
        <v>167</v>
      </c>
    </row>
    <row r="20" spans="1:11" ht="39" customHeight="1" x14ac:dyDescent="0.3">
      <c r="A20" s="17">
        <f t="shared" si="0"/>
        <v>17</v>
      </c>
      <c r="B20" s="17">
        <v>1025</v>
      </c>
      <c r="C20" s="17" t="s">
        <v>23</v>
      </c>
      <c r="D20" s="18" t="s">
        <v>50</v>
      </c>
      <c r="E20" s="19" t="s">
        <v>130</v>
      </c>
      <c r="F20" s="17" t="s">
        <v>20</v>
      </c>
      <c r="G20" s="17" t="s">
        <v>108</v>
      </c>
      <c r="H20" s="17" t="s">
        <v>109</v>
      </c>
      <c r="I20" s="17" t="s">
        <v>54</v>
      </c>
      <c r="J20" s="20" t="s">
        <v>110</v>
      </c>
      <c r="K20" s="12" t="s">
        <v>167</v>
      </c>
    </row>
    <row r="21" spans="1:11" ht="39" customHeight="1" x14ac:dyDescent="0.3">
      <c r="A21" s="17">
        <f t="shared" si="0"/>
        <v>18</v>
      </c>
      <c r="B21" s="17">
        <v>404</v>
      </c>
      <c r="C21" s="17" t="s">
        <v>13</v>
      </c>
      <c r="D21" s="18" t="s">
        <v>42</v>
      </c>
      <c r="E21" s="19">
        <v>31149</v>
      </c>
      <c r="F21" s="17" t="s">
        <v>11</v>
      </c>
      <c r="G21" s="17" t="s">
        <v>108</v>
      </c>
      <c r="H21" s="17" t="s">
        <v>109</v>
      </c>
      <c r="I21" s="17" t="s">
        <v>54</v>
      </c>
      <c r="J21" s="20" t="s">
        <v>110</v>
      </c>
      <c r="K21" s="12" t="s">
        <v>167</v>
      </c>
    </row>
    <row r="22" spans="1:11" ht="39" customHeight="1" x14ac:dyDescent="0.3">
      <c r="A22" s="17">
        <f t="shared" si="0"/>
        <v>19</v>
      </c>
      <c r="B22" s="17">
        <v>657</v>
      </c>
      <c r="C22" s="17" t="s">
        <v>64</v>
      </c>
      <c r="D22" s="18" t="s">
        <v>70</v>
      </c>
      <c r="E22" s="19">
        <v>25448</v>
      </c>
      <c r="F22" s="17" t="s">
        <v>48</v>
      </c>
      <c r="G22" s="17" t="s">
        <v>101</v>
      </c>
      <c r="H22" s="17" t="s">
        <v>111</v>
      </c>
      <c r="I22" s="17" t="s">
        <v>53</v>
      </c>
      <c r="J22" s="20" t="s">
        <v>112</v>
      </c>
      <c r="K22" s="12" t="s">
        <v>167</v>
      </c>
    </row>
    <row r="23" spans="1:11" ht="39" customHeight="1" x14ac:dyDescent="0.3">
      <c r="A23" s="17">
        <f t="shared" si="0"/>
        <v>20</v>
      </c>
      <c r="B23" s="17">
        <v>181</v>
      </c>
      <c r="C23" s="17" t="s">
        <v>115</v>
      </c>
      <c r="D23" s="18" t="s">
        <v>114</v>
      </c>
      <c r="E23" s="19">
        <v>29652</v>
      </c>
      <c r="F23" s="17" t="s">
        <v>48</v>
      </c>
      <c r="G23" s="17" t="s">
        <v>101</v>
      </c>
      <c r="H23" s="17" t="s">
        <v>111</v>
      </c>
      <c r="I23" s="17" t="s">
        <v>53</v>
      </c>
      <c r="J23" s="20" t="s">
        <v>112</v>
      </c>
      <c r="K23" s="12" t="s">
        <v>167</v>
      </c>
    </row>
    <row r="24" spans="1:11" ht="39" customHeight="1" x14ac:dyDescent="0.3">
      <c r="A24" s="17">
        <f t="shared" si="0"/>
        <v>21</v>
      </c>
      <c r="B24" s="17">
        <v>1200</v>
      </c>
      <c r="C24" s="17" t="s">
        <v>115</v>
      </c>
      <c r="D24" s="18" t="s">
        <v>52</v>
      </c>
      <c r="E24" s="19">
        <v>33298</v>
      </c>
      <c r="F24" s="17" t="s">
        <v>11</v>
      </c>
      <c r="G24" s="17" t="s">
        <v>101</v>
      </c>
      <c r="H24" s="17" t="s">
        <v>111</v>
      </c>
      <c r="I24" s="17" t="s">
        <v>53</v>
      </c>
      <c r="J24" s="20" t="s">
        <v>112</v>
      </c>
      <c r="K24" s="12" t="s">
        <v>167</v>
      </c>
    </row>
    <row r="25" spans="1:11" ht="39" customHeight="1" x14ac:dyDescent="0.3">
      <c r="A25" s="17">
        <f t="shared" si="0"/>
        <v>22</v>
      </c>
      <c r="B25" s="17">
        <v>796</v>
      </c>
      <c r="C25" s="17" t="s">
        <v>47</v>
      </c>
      <c r="D25" s="18" t="s">
        <v>116</v>
      </c>
      <c r="E25" s="19">
        <v>29879</v>
      </c>
      <c r="F25" s="17" t="s">
        <v>48</v>
      </c>
      <c r="G25" s="17" t="s">
        <v>101</v>
      </c>
      <c r="H25" s="17" t="s">
        <v>111</v>
      </c>
      <c r="I25" s="17" t="s">
        <v>53</v>
      </c>
      <c r="J25" s="20" t="s">
        <v>112</v>
      </c>
      <c r="K25" s="12" t="s">
        <v>167</v>
      </c>
    </row>
    <row r="26" spans="1:11" ht="39" customHeight="1" x14ac:dyDescent="0.3">
      <c r="A26" s="17">
        <f t="shared" si="0"/>
        <v>23</v>
      </c>
      <c r="B26" s="17">
        <v>725</v>
      </c>
      <c r="C26" s="17" t="s">
        <v>46</v>
      </c>
      <c r="D26" s="18" t="s">
        <v>117</v>
      </c>
      <c r="E26" s="19">
        <v>30756</v>
      </c>
      <c r="F26" s="17" t="s">
        <v>48</v>
      </c>
      <c r="G26" s="17" t="s">
        <v>101</v>
      </c>
      <c r="H26" s="17" t="s">
        <v>111</v>
      </c>
      <c r="I26" s="17" t="s">
        <v>53</v>
      </c>
      <c r="J26" s="20" t="s">
        <v>112</v>
      </c>
      <c r="K26" s="12" t="s">
        <v>167</v>
      </c>
    </row>
    <row r="27" spans="1:11" ht="39" customHeight="1" x14ac:dyDescent="0.3">
      <c r="A27" s="17">
        <f t="shared" si="0"/>
        <v>24</v>
      </c>
      <c r="B27" s="17">
        <v>1857</v>
      </c>
      <c r="C27" s="17" t="s">
        <v>115</v>
      </c>
      <c r="D27" s="18" t="s">
        <v>63</v>
      </c>
      <c r="E27" s="19" t="s">
        <v>128</v>
      </c>
      <c r="F27" s="17" t="s">
        <v>3</v>
      </c>
      <c r="G27" s="17" t="s">
        <v>101</v>
      </c>
      <c r="H27" s="17" t="s">
        <v>111</v>
      </c>
      <c r="I27" s="17" t="s">
        <v>53</v>
      </c>
      <c r="J27" s="20" t="s">
        <v>112</v>
      </c>
      <c r="K27" s="12" t="s">
        <v>167</v>
      </c>
    </row>
    <row r="28" spans="1:11" ht="39" customHeight="1" x14ac:dyDescent="0.3">
      <c r="A28" s="17">
        <f t="shared" si="0"/>
        <v>25</v>
      </c>
      <c r="B28" s="17">
        <v>1136</v>
      </c>
      <c r="C28" s="17" t="s">
        <v>19</v>
      </c>
      <c r="D28" s="18" t="s">
        <v>118</v>
      </c>
      <c r="E28" s="19" t="s">
        <v>136</v>
      </c>
      <c r="F28" s="17" t="s">
        <v>11</v>
      </c>
      <c r="G28" s="17" t="s">
        <v>101</v>
      </c>
      <c r="H28" s="17" t="s">
        <v>111</v>
      </c>
      <c r="I28" s="17" t="s">
        <v>53</v>
      </c>
      <c r="J28" s="20" t="s">
        <v>112</v>
      </c>
      <c r="K28" s="12" t="s">
        <v>167</v>
      </c>
    </row>
    <row r="29" spans="1:11" ht="39" customHeight="1" x14ac:dyDescent="0.3">
      <c r="A29" s="17">
        <f t="shared" si="0"/>
        <v>26</v>
      </c>
      <c r="B29" s="17">
        <v>1940</v>
      </c>
      <c r="C29" s="17" t="s">
        <v>14</v>
      </c>
      <c r="D29" s="18" t="s">
        <v>44</v>
      </c>
      <c r="E29" s="19" t="s">
        <v>45</v>
      </c>
      <c r="F29" s="17" t="s">
        <v>11</v>
      </c>
      <c r="G29" s="17" t="s">
        <v>101</v>
      </c>
      <c r="H29" s="17" t="s">
        <v>111</v>
      </c>
      <c r="I29" s="17" t="s">
        <v>53</v>
      </c>
      <c r="J29" s="20" t="s">
        <v>112</v>
      </c>
      <c r="K29" s="12" t="s">
        <v>167</v>
      </c>
    </row>
    <row r="30" spans="1:11" ht="39" customHeight="1" x14ac:dyDescent="0.3">
      <c r="A30" s="17">
        <f t="shared" si="0"/>
        <v>27</v>
      </c>
      <c r="B30" s="17">
        <v>1852</v>
      </c>
      <c r="C30" s="17" t="s">
        <v>15</v>
      </c>
      <c r="D30" s="18" t="s">
        <v>119</v>
      </c>
      <c r="E30" s="19" t="s">
        <v>137</v>
      </c>
      <c r="F30" s="17" t="s">
        <v>2</v>
      </c>
      <c r="G30" s="17" t="s">
        <v>101</v>
      </c>
      <c r="H30" s="17" t="s">
        <v>111</v>
      </c>
      <c r="I30" s="17" t="s">
        <v>53</v>
      </c>
      <c r="J30" s="20" t="s">
        <v>112</v>
      </c>
      <c r="K30" s="12" t="s">
        <v>167</v>
      </c>
    </row>
    <row r="31" spans="1:11" ht="39" customHeight="1" x14ac:dyDescent="0.3">
      <c r="A31" s="17">
        <f t="shared" si="0"/>
        <v>28</v>
      </c>
      <c r="B31" s="17">
        <v>1932</v>
      </c>
      <c r="C31" s="17" t="s">
        <v>7</v>
      </c>
      <c r="D31" s="18" t="s">
        <v>120</v>
      </c>
      <c r="E31" s="19" t="s">
        <v>138</v>
      </c>
      <c r="F31" s="17" t="s">
        <v>139</v>
      </c>
      <c r="G31" s="17" t="s">
        <v>101</v>
      </c>
      <c r="H31" s="17" t="s">
        <v>111</v>
      </c>
      <c r="I31" s="17" t="s">
        <v>53</v>
      </c>
      <c r="J31" s="20" t="s">
        <v>112</v>
      </c>
      <c r="K31" s="12" t="s">
        <v>167</v>
      </c>
    </row>
    <row r="32" spans="1:11" ht="39" customHeight="1" x14ac:dyDescent="0.3">
      <c r="A32" s="17">
        <f t="shared" si="0"/>
        <v>29</v>
      </c>
      <c r="B32" s="17">
        <v>1874</v>
      </c>
      <c r="C32" s="17" t="s">
        <v>34</v>
      </c>
      <c r="D32" s="18" t="s">
        <v>41</v>
      </c>
      <c r="E32" s="19" t="s">
        <v>40</v>
      </c>
      <c r="F32" s="17" t="s">
        <v>3</v>
      </c>
      <c r="G32" s="17" t="s">
        <v>101</v>
      </c>
      <c r="H32" s="17" t="s">
        <v>111</v>
      </c>
      <c r="I32" s="17" t="s">
        <v>53</v>
      </c>
      <c r="J32" s="20" t="s">
        <v>112</v>
      </c>
      <c r="K32" s="12" t="s">
        <v>167</v>
      </c>
    </row>
    <row r="33" spans="1:13" ht="39" customHeight="1" x14ac:dyDescent="0.3">
      <c r="A33" s="17">
        <f t="shared" si="0"/>
        <v>30</v>
      </c>
      <c r="B33" s="17">
        <v>1832</v>
      </c>
      <c r="C33" s="17" t="s">
        <v>29</v>
      </c>
      <c r="D33" s="18" t="s">
        <v>30</v>
      </c>
      <c r="E33" s="19" t="s">
        <v>31</v>
      </c>
      <c r="F33" s="17" t="s">
        <v>3</v>
      </c>
      <c r="G33" s="17" t="s">
        <v>101</v>
      </c>
      <c r="H33" s="17" t="s">
        <v>111</v>
      </c>
      <c r="I33" s="17" t="s">
        <v>53</v>
      </c>
      <c r="J33" s="20" t="s">
        <v>112</v>
      </c>
      <c r="K33" s="12" t="s">
        <v>167</v>
      </c>
    </row>
    <row r="34" spans="1:13" ht="39" customHeight="1" x14ac:dyDescent="0.3">
      <c r="A34" s="17">
        <f t="shared" si="0"/>
        <v>31</v>
      </c>
      <c r="B34" s="17">
        <v>1809</v>
      </c>
      <c r="C34" s="17" t="s">
        <v>28</v>
      </c>
      <c r="D34" s="18" t="s">
        <v>51</v>
      </c>
      <c r="E34" s="19" t="s">
        <v>129</v>
      </c>
      <c r="F34" s="17" t="s">
        <v>3</v>
      </c>
      <c r="G34" s="17" t="s">
        <v>101</v>
      </c>
      <c r="H34" s="17" t="s">
        <v>111</v>
      </c>
      <c r="I34" s="17" t="s">
        <v>53</v>
      </c>
      <c r="J34" s="20" t="s">
        <v>112</v>
      </c>
      <c r="K34" s="12" t="s">
        <v>167</v>
      </c>
    </row>
    <row r="35" spans="1:13" ht="39" customHeight="1" x14ac:dyDescent="0.3">
      <c r="A35" s="17">
        <f t="shared" si="0"/>
        <v>32</v>
      </c>
      <c r="B35" s="17">
        <v>1877</v>
      </c>
      <c r="C35" s="17" t="s">
        <v>25</v>
      </c>
      <c r="D35" s="18" t="s">
        <v>26</v>
      </c>
      <c r="E35" s="19" t="s">
        <v>27</v>
      </c>
      <c r="F35" s="17" t="s">
        <v>3</v>
      </c>
      <c r="G35" s="17" t="s">
        <v>101</v>
      </c>
      <c r="H35" s="17" t="s">
        <v>111</v>
      </c>
      <c r="I35" s="17" t="s">
        <v>53</v>
      </c>
      <c r="J35" s="20" t="s">
        <v>112</v>
      </c>
      <c r="K35" s="12" t="s">
        <v>167</v>
      </c>
    </row>
    <row r="36" spans="1:13" ht="39" customHeight="1" x14ac:dyDescent="0.3">
      <c r="A36" s="17">
        <f t="shared" si="0"/>
        <v>33</v>
      </c>
      <c r="B36" s="17">
        <v>1610</v>
      </c>
      <c r="C36" s="17" t="s">
        <v>8</v>
      </c>
      <c r="D36" s="18" t="s">
        <v>9</v>
      </c>
      <c r="E36" s="19" t="s">
        <v>10</v>
      </c>
      <c r="F36" s="17" t="s">
        <v>3</v>
      </c>
      <c r="G36" s="17" t="s">
        <v>101</v>
      </c>
      <c r="H36" s="17" t="s">
        <v>111</v>
      </c>
      <c r="I36" s="17" t="s">
        <v>53</v>
      </c>
      <c r="J36" s="20" t="s">
        <v>112</v>
      </c>
      <c r="K36" s="12" t="s">
        <v>167</v>
      </c>
    </row>
    <row r="37" spans="1:13" ht="39" customHeight="1" x14ac:dyDescent="0.3">
      <c r="A37" s="17">
        <f t="shared" si="0"/>
        <v>34</v>
      </c>
      <c r="B37" s="17">
        <v>107</v>
      </c>
      <c r="C37" s="17" t="s">
        <v>78</v>
      </c>
      <c r="D37" s="18" t="s">
        <v>79</v>
      </c>
      <c r="E37" s="19">
        <v>30720</v>
      </c>
      <c r="F37" s="17" t="s">
        <v>140</v>
      </c>
      <c r="G37" s="17" t="s">
        <v>101</v>
      </c>
      <c r="H37" s="17" t="s">
        <v>111</v>
      </c>
      <c r="I37" s="17" t="s">
        <v>53</v>
      </c>
      <c r="J37" s="20" t="s">
        <v>112</v>
      </c>
      <c r="K37" s="12" t="s">
        <v>167</v>
      </c>
    </row>
    <row r="38" spans="1:13" ht="39" customHeight="1" x14ac:dyDescent="0.3">
      <c r="A38" s="17">
        <f t="shared" si="0"/>
        <v>35</v>
      </c>
      <c r="B38" s="17">
        <v>794</v>
      </c>
      <c r="C38" s="17" t="s">
        <v>34</v>
      </c>
      <c r="D38" s="18" t="s">
        <v>121</v>
      </c>
      <c r="E38" s="19">
        <v>27956</v>
      </c>
      <c r="F38" s="17" t="s">
        <v>48</v>
      </c>
      <c r="G38" s="17" t="s">
        <v>101</v>
      </c>
      <c r="H38" s="17" t="s">
        <v>148</v>
      </c>
      <c r="I38" s="17" t="s">
        <v>122</v>
      </c>
      <c r="J38" s="20" t="s">
        <v>113</v>
      </c>
      <c r="K38" s="12" t="s">
        <v>167</v>
      </c>
    </row>
    <row r="39" spans="1:13" ht="39" customHeight="1" x14ac:dyDescent="0.3">
      <c r="A39" s="17">
        <f t="shared" si="0"/>
        <v>36</v>
      </c>
      <c r="B39" s="17">
        <v>923</v>
      </c>
      <c r="C39" s="17" t="s">
        <v>15</v>
      </c>
      <c r="D39" s="18" t="s">
        <v>123</v>
      </c>
      <c r="E39" s="19">
        <v>32093</v>
      </c>
      <c r="F39" s="17" t="s">
        <v>141</v>
      </c>
      <c r="G39" s="17" t="s">
        <v>101</v>
      </c>
      <c r="H39" s="17" t="s">
        <v>148</v>
      </c>
      <c r="I39" s="17" t="s">
        <v>122</v>
      </c>
      <c r="J39" s="20" t="s">
        <v>113</v>
      </c>
      <c r="K39" s="12" t="s">
        <v>167</v>
      </c>
    </row>
    <row r="40" spans="1:13" ht="39" customHeight="1" x14ac:dyDescent="0.3">
      <c r="A40" s="17">
        <f t="shared" si="0"/>
        <v>37</v>
      </c>
      <c r="B40" s="11">
        <v>904</v>
      </c>
      <c r="C40" s="17" t="s">
        <v>43</v>
      </c>
      <c r="D40" s="18" t="s">
        <v>65</v>
      </c>
      <c r="E40" s="19">
        <v>31365</v>
      </c>
      <c r="F40" s="17" t="s">
        <v>124</v>
      </c>
      <c r="G40" s="17" t="s">
        <v>66</v>
      </c>
      <c r="H40" s="17" t="s">
        <v>147</v>
      </c>
      <c r="I40" s="17" t="s">
        <v>67</v>
      </c>
      <c r="J40" s="21" t="s">
        <v>68</v>
      </c>
      <c r="K40" s="12" t="s">
        <v>167</v>
      </c>
      <c r="L40" s="12">
        <f>29+14+6+5</f>
        <v>54</v>
      </c>
    </row>
    <row r="41" spans="1:13" ht="39" customHeight="1" x14ac:dyDescent="0.3">
      <c r="A41" s="17">
        <f t="shared" si="0"/>
        <v>38</v>
      </c>
      <c r="B41" s="11">
        <v>938</v>
      </c>
      <c r="C41" s="17" t="s">
        <v>23</v>
      </c>
      <c r="D41" s="18" t="s">
        <v>69</v>
      </c>
      <c r="E41" s="19" t="s">
        <v>24</v>
      </c>
      <c r="F41" s="17" t="s">
        <v>11</v>
      </c>
      <c r="G41" s="17" t="s">
        <v>66</v>
      </c>
      <c r="H41" s="17" t="s">
        <v>147</v>
      </c>
      <c r="I41" s="17" t="s">
        <v>67</v>
      </c>
      <c r="J41" s="21" t="s">
        <v>68</v>
      </c>
      <c r="K41" s="12" t="s">
        <v>167</v>
      </c>
      <c r="L41" s="12">
        <f>7/54</f>
        <v>0.12962962962962962</v>
      </c>
      <c r="M41" s="12">
        <f>130*14</f>
        <v>1820</v>
      </c>
    </row>
    <row r="42" spans="1:13" s="5" customFormat="1" ht="37.5" customHeight="1" x14ac:dyDescent="0.25">
      <c r="A42" s="17">
        <f t="shared" si="0"/>
        <v>39</v>
      </c>
      <c r="B42" s="4"/>
      <c r="C42" s="4" t="s">
        <v>43</v>
      </c>
      <c r="D42" s="19" t="s">
        <v>65</v>
      </c>
      <c r="E42" s="17"/>
      <c r="F42" s="17"/>
      <c r="G42" s="17" t="s">
        <v>66</v>
      </c>
      <c r="H42" s="17" t="s">
        <v>147</v>
      </c>
      <c r="I42" s="4"/>
      <c r="J42" s="4"/>
      <c r="K42" s="5" t="s">
        <v>167</v>
      </c>
    </row>
    <row r="43" spans="1:13" s="5" customFormat="1" ht="37.5" customHeight="1" x14ac:dyDescent="0.25">
      <c r="A43" s="17">
        <f t="shared" si="0"/>
        <v>40</v>
      </c>
      <c r="B43" s="4"/>
      <c r="C43" s="4" t="s">
        <v>23</v>
      </c>
      <c r="D43" s="19" t="s">
        <v>69</v>
      </c>
      <c r="E43" s="17"/>
      <c r="F43" s="17"/>
      <c r="G43" s="17" t="s">
        <v>66</v>
      </c>
      <c r="H43" s="17" t="s">
        <v>147</v>
      </c>
      <c r="I43" s="4"/>
      <c r="J43" s="4"/>
      <c r="K43" s="5" t="s">
        <v>167</v>
      </c>
    </row>
    <row r="44" spans="1:13" ht="56.25" x14ac:dyDescent="0.3">
      <c r="A44" s="17">
        <f t="shared" si="0"/>
        <v>41</v>
      </c>
      <c r="B44" s="11">
        <v>2000</v>
      </c>
      <c r="C44" s="34" t="s">
        <v>146</v>
      </c>
      <c r="D44" s="1" t="s">
        <v>145</v>
      </c>
      <c r="E44" s="28"/>
      <c r="F44" s="11"/>
      <c r="G44" s="27" t="s">
        <v>108</v>
      </c>
      <c r="H44" s="34" t="s">
        <v>149</v>
      </c>
      <c r="I44" s="34" t="s">
        <v>150</v>
      </c>
      <c r="J44" s="11" t="s">
        <v>151</v>
      </c>
      <c r="K44" s="12" t="s">
        <v>132</v>
      </c>
    </row>
    <row r="45" spans="1:13" ht="56.25" x14ac:dyDescent="0.3">
      <c r="A45" s="17">
        <v>42</v>
      </c>
      <c r="B45" s="11">
        <v>495</v>
      </c>
      <c r="C45" s="34" t="s">
        <v>216</v>
      </c>
      <c r="D45" s="22" t="s">
        <v>153</v>
      </c>
      <c r="E45" s="28">
        <v>24602</v>
      </c>
      <c r="F45" s="11" t="s">
        <v>20</v>
      </c>
      <c r="G45" s="17" t="s">
        <v>66</v>
      </c>
      <c r="H45" s="34" t="s">
        <v>152</v>
      </c>
      <c r="I45" s="34" t="s">
        <v>156</v>
      </c>
      <c r="J45" s="11" t="s">
        <v>157</v>
      </c>
      <c r="K45" s="12" t="s">
        <v>132</v>
      </c>
    </row>
    <row r="46" spans="1:13" ht="56.25" x14ac:dyDescent="0.3">
      <c r="A46" s="17">
        <v>43</v>
      </c>
      <c r="B46" s="11">
        <v>1599</v>
      </c>
      <c r="C46" s="34" t="s">
        <v>216</v>
      </c>
      <c r="D46" s="22" t="s">
        <v>154</v>
      </c>
      <c r="E46" s="28" t="s">
        <v>217</v>
      </c>
      <c r="F46" s="11" t="s">
        <v>48</v>
      </c>
      <c r="G46" s="17" t="s">
        <v>66</v>
      </c>
      <c r="H46" s="34" t="s">
        <v>152</v>
      </c>
      <c r="I46" s="34" t="s">
        <v>156</v>
      </c>
      <c r="J46" s="11" t="s">
        <v>157</v>
      </c>
      <c r="K46" s="12" t="s">
        <v>132</v>
      </c>
    </row>
    <row r="47" spans="1:13" ht="56.25" x14ac:dyDescent="0.3">
      <c r="A47" s="17">
        <v>44</v>
      </c>
      <c r="B47" s="11">
        <v>1930</v>
      </c>
      <c r="C47" s="34" t="s">
        <v>216</v>
      </c>
      <c r="D47" s="22" t="s">
        <v>155</v>
      </c>
      <c r="E47" s="28" t="s">
        <v>218</v>
      </c>
      <c r="F47" s="11" t="s">
        <v>22</v>
      </c>
      <c r="G47" s="17" t="s">
        <v>66</v>
      </c>
      <c r="H47" s="34" t="s">
        <v>152</v>
      </c>
      <c r="I47" s="34" t="s">
        <v>156</v>
      </c>
      <c r="J47" s="11" t="s">
        <v>157</v>
      </c>
      <c r="K47" s="12" t="s">
        <v>132</v>
      </c>
    </row>
    <row r="48" spans="1:13" ht="56.25" x14ac:dyDescent="0.3">
      <c r="A48" s="17">
        <v>45</v>
      </c>
      <c r="B48" s="7">
        <v>487</v>
      </c>
      <c r="C48" s="34" t="s">
        <v>219</v>
      </c>
      <c r="D48" s="8" t="s">
        <v>158</v>
      </c>
      <c r="E48" s="28">
        <v>30524</v>
      </c>
      <c r="F48" s="11" t="s">
        <v>4</v>
      </c>
      <c r="G48" s="27" t="s">
        <v>108</v>
      </c>
      <c r="H48" s="3" t="s">
        <v>160</v>
      </c>
      <c r="I48" s="34" t="s">
        <v>166</v>
      </c>
      <c r="J48" s="11" t="s">
        <v>157</v>
      </c>
      <c r="K48" s="12" t="s">
        <v>132</v>
      </c>
    </row>
    <row r="49" spans="1:11" ht="75" x14ac:dyDescent="0.3">
      <c r="A49" s="17">
        <v>46</v>
      </c>
      <c r="B49" s="7">
        <v>1153</v>
      </c>
      <c r="C49" s="34" t="s">
        <v>35</v>
      </c>
      <c r="D49" s="8" t="s">
        <v>159</v>
      </c>
      <c r="E49" s="28">
        <v>32747</v>
      </c>
      <c r="F49" s="11" t="s">
        <v>4</v>
      </c>
      <c r="G49" s="27" t="s">
        <v>108</v>
      </c>
      <c r="H49" s="3" t="s">
        <v>160</v>
      </c>
      <c r="I49" s="34" t="s">
        <v>166</v>
      </c>
      <c r="J49" s="10">
        <v>46119</v>
      </c>
      <c r="K49" s="12" t="s">
        <v>132</v>
      </c>
    </row>
    <row r="50" spans="1:11" ht="56.25" x14ac:dyDescent="0.3">
      <c r="A50" s="17">
        <v>47</v>
      </c>
      <c r="B50" s="11"/>
      <c r="C50" s="34" t="e">
        <v>#N/A</v>
      </c>
      <c r="D50" s="29" t="s">
        <v>161</v>
      </c>
      <c r="E50" s="28" t="e">
        <v>#N/A</v>
      </c>
      <c r="F50" s="11" t="e">
        <v>#N/A</v>
      </c>
      <c r="G50" s="27" t="s">
        <v>108</v>
      </c>
      <c r="H50" s="3" t="s">
        <v>164</v>
      </c>
      <c r="I50" s="34" t="s">
        <v>165</v>
      </c>
      <c r="J50" s="10">
        <v>46120</v>
      </c>
      <c r="K50" s="12" t="s">
        <v>132</v>
      </c>
    </row>
    <row r="51" spans="1:11" ht="56.25" x14ac:dyDescent="0.3">
      <c r="A51" s="17">
        <v>48</v>
      </c>
      <c r="B51" s="11"/>
      <c r="C51" s="34" t="e">
        <v>#N/A</v>
      </c>
      <c r="D51" s="6" t="s">
        <v>162</v>
      </c>
      <c r="E51" s="28" t="e">
        <v>#N/A</v>
      </c>
      <c r="F51" s="11" t="e">
        <v>#N/A</v>
      </c>
      <c r="G51" s="27" t="s">
        <v>108</v>
      </c>
      <c r="H51" s="3" t="s">
        <v>164</v>
      </c>
      <c r="I51" s="34" t="s">
        <v>165</v>
      </c>
      <c r="J51" s="10">
        <v>46120</v>
      </c>
      <c r="K51" s="12" t="s">
        <v>132</v>
      </c>
    </row>
    <row r="52" spans="1:11" ht="56.25" x14ac:dyDescent="0.3">
      <c r="A52" s="17">
        <v>49</v>
      </c>
      <c r="B52" s="11"/>
      <c r="C52" s="34" t="e">
        <v>#N/A</v>
      </c>
      <c r="D52" s="6" t="s">
        <v>163</v>
      </c>
      <c r="E52" s="28" t="e">
        <v>#N/A</v>
      </c>
      <c r="F52" s="11" t="e">
        <v>#N/A</v>
      </c>
      <c r="G52" s="27" t="s">
        <v>108</v>
      </c>
      <c r="H52" s="3" t="s">
        <v>164</v>
      </c>
      <c r="I52" s="34" t="s">
        <v>165</v>
      </c>
      <c r="J52" s="10">
        <v>46120</v>
      </c>
      <c r="K52" s="12" t="s">
        <v>132</v>
      </c>
    </row>
    <row r="53" spans="1:11" ht="112.5" x14ac:dyDescent="0.3">
      <c r="A53" s="17">
        <v>50</v>
      </c>
      <c r="B53" s="30">
        <v>284</v>
      </c>
      <c r="C53" s="34" t="s">
        <v>55</v>
      </c>
      <c r="D53" s="31" t="s">
        <v>168</v>
      </c>
      <c r="E53" s="28">
        <v>25659</v>
      </c>
      <c r="F53" s="11" t="s">
        <v>220</v>
      </c>
      <c r="G53" s="27" t="s">
        <v>108</v>
      </c>
      <c r="H53" s="3" t="s">
        <v>197</v>
      </c>
      <c r="I53" s="34" t="s">
        <v>196</v>
      </c>
      <c r="J53" s="2" t="s">
        <v>195</v>
      </c>
    </row>
    <row r="54" spans="1:11" ht="112.5" x14ac:dyDescent="0.3">
      <c r="A54" s="17">
        <v>51</v>
      </c>
      <c r="B54" s="32">
        <v>294</v>
      </c>
      <c r="C54" s="34" t="s">
        <v>55</v>
      </c>
      <c r="D54" s="31" t="s">
        <v>169</v>
      </c>
      <c r="E54" s="28">
        <v>26890</v>
      </c>
      <c r="F54" s="11" t="s">
        <v>220</v>
      </c>
      <c r="G54" s="27" t="s">
        <v>108</v>
      </c>
      <c r="H54" s="3" t="s">
        <v>197</v>
      </c>
      <c r="I54" s="34" t="s">
        <v>196</v>
      </c>
      <c r="J54" s="2" t="s">
        <v>195</v>
      </c>
    </row>
    <row r="55" spans="1:11" ht="112.5" x14ac:dyDescent="0.3">
      <c r="A55" s="17">
        <v>52</v>
      </c>
      <c r="B55" s="30">
        <v>978</v>
      </c>
      <c r="C55" s="34" t="s">
        <v>55</v>
      </c>
      <c r="D55" s="31" t="s">
        <v>170</v>
      </c>
      <c r="E55" s="28" t="s">
        <v>221</v>
      </c>
      <c r="F55" s="11" t="s">
        <v>222</v>
      </c>
      <c r="G55" s="27" t="s">
        <v>108</v>
      </c>
      <c r="H55" s="3" t="s">
        <v>197</v>
      </c>
      <c r="I55" s="34" t="s">
        <v>196</v>
      </c>
      <c r="J55" s="2" t="s">
        <v>195</v>
      </c>
    </row>
    <row r="56" spans="1:11" ht="112.5" x14ac:dyDescent="0.3">
      <c r="A56" s="17">
        <v>53</v>
      </c>
      <c r="B56" s="32">
        <v>1312</v>
      </c>
      <c r="C56" s="34" t="s">
        <v>55</v>
      </c>
      <c r="D56" s="31" t="s">
        <v>171</v>
      </c>
      <c r="E56" s="28">
        <v>34175</v>
      </c>
      <c r="F56" s="11" t="s">
        <v>222</v>
      </c>
      <c r="G56" s="27" t="s">
        <v>108</v>
      </c>
      <c r="H56" s="3" t="s">
        <v>197</v>
      </c>
      <c r="I56" s="34" t="s">
        <v>196</v>
      </c>
      <c r="J56" s="2" t="s">
        <v>195</v>
      </c>
    </row>
    <row r="57" spans="1:11" ht="112.5" x14ac:dyDescent="0.3">
      <c r="A57" s="17">
        <v>54</v>
      </c>
      <c r="B57" s="30">
        <v>287</v>
      </c>
      <c r="C57" s="34" t="s">
        <v>55</v>
      </c>
      <c r="D57" s="31" t="s">
        <v>172</v>
      </c>
      <c r="E57" s="28">
        <v>32141</v>
      </c>
      <c r="F57" s="11" t="s">
        <v>222</v>
      </c>
      <c r="G57" s="27" t="s">
        <v>108</v>
      </c>
      <c r="H57" s="3" t="s">
        <v>197</v>
      </c>
      <c r="I57" s="34" t="s">
        <v>196</v>
      </c>
      <c r="J57" s="2" t="s">
        <v>195</v>
      </c>
    </row>
    <row r="58" spans="1:11" ht="112.5" x14ac:dyDescent="0.3">
      <c r="A58" s="17">
        <v>55</v>
      </c>
      <c r="B58" s="32">
        <v>1955</v>
      </c>
      <c r="C58" s="34" t="s">
        <v>55</v>
      </c>
      <c r="D58" s="31" t="s">
        <v>173</v>
      </c>
      <c r="E58" s="28" t="s">
        <v>223</v>
      </c>
      <c r="F58" s="11" t="s">
        <v>222</v>
      </c>
      <c r="G58" s="27" t="s">
        <v>108</v>
      </c>
      <c r="H58" s="3" t="s">
        <v>197</v>
      </c>
      <c r="I58" s="34" t="s">
        <v>196</v>
      </c>
      <c r="J58" s="2" t="s">
        <v>195</v>
      </c>
    </row>
    <row r="59" spans="1:11" ht="112.5" x14ac:dyDescent="0.3">
      <c r="A59" s="17">
        <v>56</v>
      </c>
      <c r="B59" s="30">
        <v>2256</v>
      </c>
      <c r="C59" s="34" t="s">
        <v>55</v>
      </c>
      <c r="D59" s="31" t="s">
        <v>174</v>
      </c>
      <c r="E59" s="28">
        <v>36352</v>
      </c>
      <c r="F59" s="11" t="s">
        <v>222</v>
      </c>
      <c r="G59" s="27" t="s">
        <v>108</v>
      </c>
      <c r="H59" s="3" t="s">
        <v>197</v>
      </c>
      <c r="I59" s="34" t="s">
        <v>196</v>
      </c>
      <c r="J59" s="2" t="s">
        <v>195</v>
      </c>
    </row>
    <row r="60" spans="1:11" ht="112.5" x14ac:dyDescent="0.3">
      <c r="A60" s="17">
        <v>57</v>
      </c>
      <c r="B60" s="32">
        <v>288</v>
      </c>
      <c r="C60" s="34" t="s">
        <v>55</v>
      </c>
      <c r="D60" s="31" t="s">
        <v>175</v>
      </c>
      <c r="E60" s="28">
        <v>30915</v>
      </c>
      <c r="F60" s="11" t="s">
        <v>224</v>
      </c>
      <c r="G60" s="27" t="s">
        <v>108</v>
      </c>
      <c r="H60" s="3" t="s">
        <v>197</v>
      </c>
      <c r="I60" s="34" t="s">
        <v>196</v>
      </c>
      <c r="J60" s="2" t="s">
        <v>195</v>
      </c>
    </row>
    <row r="61" spans="1:11" ht="112.5" x14ac:dyDescent="0.3">
      <c r="A61" s="17">
        <v>58</v>
      </c>
      <c r="B61" s="30">
        <v>29</v>
      </c>
      <c r="C61" s="34" t="s">
        <v>55</v>
      </c>
      <c r="D61" s="31" t="s">
        <v>176</v>
      </c>
      <c r="E61" s="28">
        <v>32370</v>
      </c>
      <c r="F61" s="11" t="s">
        <v>224</v>
      </c>
      <c r="G61" s="27" t="s">
        <v>108</v>
      </c>
      <c r="H61" s="3" t="s">
        <v>197</v>
      </c>
      <c r="I61" s="34" t="s">
        <v>196</v>
      </c>
      <c r="J61" s="2" t="s">
        <v>195</v>
      </c>
    </row>
    <row r="62" spans="1:11" ht="112.5" x14ac:dyDescent="0.3">
      <c r="A62" s="17">
        <v>59</v>
      </c>
      <c r="B62" s="32">
        <v>290</v>
      </c>
      <c r="C62" s="34" t="s">
        <v>55</v>
      </c>
      <c r="D62" s="31" t="s">
        <v>177</v>
      </c>
      <c r="E62" s="28">
        <v>31899</v>
      </c>
      <c r="F62" s="11" t="s">
        <v>224</v>
      </c>
      <c r="G62" s="27" t="s">
        <v>108</v>
      </c>
      <c r="H62" s="3" t="s">
        <v>197</v>
      </c>
      <c r="I62" s="34" t="s">
        <v>196</v>
      </c>
      <c r="J62" s="2" t="s">
        <v>195</v>
      </c>
    </row>
    <row r="63" spans="1:11" ht="112.5" x14ac:dyDescent="0.3">
      <c r="A63" s="17">
        <v>60</v>
      </c>
      <c r="B63" s="30">
        <v>1444</v>
      </c>
      <c r="C63" s="34" t="s">
        <v>55</v>
      </c>
      <c r="D63" s="31" t="s">
        <v>178</v>
      </c>
      <c r="E63" s="28" t="s">
        <v>225</v>
      </c>
      <c r="F63" s="11" t="s">
        <v>226</v>
      </c>
      <c r="G63" s="27" t="s">
        <v>108</v>
      </c>
      <c r="H63" s="3" t="s">
        <v>197</v>
      </c>
      <c r="I63" s="34" t="s">
        <v>196</v>
      </c>
      <c r="J63" s="2" t="s">
        <v>195</v>
      </c>
    </row>
    <row r="64" spans="1:11" ht="112.5" x14ac:dyDescent="0.3">
      <c r="A64" s="17">
        <v>61</v>
      </c>
      <c r="B64" s="32">
        <v>1799</v>
      </c>
      <c r="C64" s="34" t="s">
        <v>55</v>
      </c>
      <c r="D64" s="31" t="s">
        <v>179</v>
      </c>
      <c r="E64" s="28" t="s">
        <v>227</v>
      </c>
      <c r="F64" s="11" t="s">
        <v>226</v>
      </c>
      <c r="G64" s="27" t="s">
        <v>108</v>
      </c>
      <c r="H64" s="3" t="s">
        <v>197</v>
      </c>
      <c r="I64" s="34" t="s">
        <v>196</v>
      </c>
      <c r="J64" s="2" t="s">
        <v>195</v>
      </c>
    </row>
    <row r="65" spans="1:10" ht="112.5" x14ac:dyDescent="0.3">
      <c r="A65" s="17">
        <v>62</v>
      </c>
      <c r="B65" s="30">
        <v>1938</v>
      </c>
      <c r="C65" s="34" t="s">
        <v>55</v>
      </c>
      <c r="D65" s="31" t="s">
        <v>180</v>
      </c>
      <c r="E65" s="28" t="s">
        <v>228</v>
      </c>
      <c r="F65" s="11" t="s">
        <v>226</v>
      </c>
      <c r="G65" s="27" t="s">
        <v>108</v>
      </c>
      <c r="H65" s="3" t="s">
        <v>197</v>
      </c>
      <c r="I65" s="34" t="s">
        <v>196</v>
      </c>
      <c r="J65" s="2" t="s">
        <v>195</v>
      </c>
    </row>
    <row r="66" spans="1:10" ht="112.5" x14ac:dyDescent="0.3">
      <c r="A66" s="17">
        <v>63</v>
      </c>
      <c r="B66" s="32">
        <v>1803</v>
      </c>
      <c r="C66" s="34" t="s">
        <v>55</v>
      </c>
      <c r="D66" s="31" t="s">
        <v>181</v>
      </c>
      <c r="E66" s="28" t="s">
        <v>229</v>
      </c>
      <c r="F66" s="11" t="s">
        <v>226</v>
      </c>
      <c r="G66" s="27" t="s">
        <v>108</v>
      </c>
      <c r="H66" s="3" t="s">
        <v>197</v>
      </c>
      <c r="I66" s="34" t="s">
        <v>196</v>
      </c>
      <c r="J66" s="2" t="s">
        <v>195</v>
      </c>
    </row>
    <row r="67" spans="1:10" ht="112.5" x14ac:dyDescent="0.3">
      <c r="A67" s="17">
        <v>64</v>
      </c>
      <c r="B67" s="30">
        <v>1982</v>
      </c>
      <c r="C67" s="34" t="s">
        <v>55</v>
      </c>
      <c r="D67" s="31" t="s">
        <v>182</v>
      </c>
      <c r="E67" s="28" t="s">
        <v>230</v>
      </c>
      <c r="F67" s="11" t="s">
        <v>226</v>
      </c>
      <c r="G67" s="27" t="s">
        <v>108</v>
      </c>
      <c r="H67" s="3" t="s">
        <v>197</v>
      </c>
      <c r="I67" s="34" t="s">
        <v>196</v>
      </c>
      <c r="J67" s="2" t="s">
        <v>195</v>
      </c>
    </row>
    <row r="68" spans="1:10" ht="112.5" x14ac:dyDescent="0.3">
      <c r="A68" s="17">
        <v>65</v>
      </c>
      <c r="B68" s="32">
        <v>2161</v>
      </c>
      <c r="C68" s="34" t="s">
        <v>55</v>
      </c>
      <c r="D68" s="31" t="s">
        <v>183</v>
      </c>
      <c r="E68" s="28">
        <v>37148</v>
      </c>
      <c r="F68" s="11" t="s">
        <v>226</v>
      </c>
      <c r="G68" s="27" t="s">
        <v>108</v>
      </c>
      <c r="H68" s="3" t="s">
        <v>197</v>
      </c>
      <c r="I68" s="34" t="s">
        <v>196</v>
      </c>
      <c r="J68" s="2" t="s">
        <v>195</v>
      </c>
    </row>
    <row r="69" spans="1:10" ht="112.5" x14ac:dyDescent="0.3">
      <c r="A69" s="17">
        <v>66</v>
      </c>
      <c r="B69" s="30">
        <v>2162</v>
      </c>
      <c r="C69" s="34" t="s">
        <v>55</v>
      </c>
      <c r="D69" s="31" t="s">
        <v>184</v>
      </c>
      <c r="E69" s="28">
        <v>36540</v>
      </c>
      <c r="F69" s="11" t="s">
        <v>226</v>
      </c>
      <c r="G69" s="27" t="s">
        <v>108</v>
      </c>
      <c r="H69" s="3" t="s">
        <v>197</v>
      </c>
      <c r="I69" s="34" t="s">
        <v>196</v>
      </c>
      <c r="J69" s="2" t="s">
        <v>195</v>
      </c>
    </row>
    <row r="70" spans="1:10" ht="112.5" x14ac:dyDescent="0.3">
      <c r="A70" s="17">
        <v>67</v>
      </c>
      <c r="B70" s="32">
        <v>2163</v>
      </c>
      <c r="C70" s="34" t="s">
        <v>55</v>
      </c>
      <c r="D70" s="31" t="s">
        <v>185</v>
      </c>
      <c r="E70" s="28">
        <v>36959</v>
      </c>
      <c r="F70" s="11" t="s">
        <v>226</v>
      </c>
      <c r="G70" s="27" t="s">
        <v>108</v>
      </c>
      <c r="H70" s="3" t="s">
        <v>197</v>
      </c>
      <c r="I70" s="34" t="s">
        <v>196</v>
      </c>
      <c r="J70" s="2" t="s">
        <v>195</v>
      </c>
    </row>
    <row r="71" spans="1:10" ht="112.5" x14ac:dyDescent="0.3">
      <c r="A71" s="17">
        <v>68</v>
      </c>
      <c r="B71" s="30">
        <v>292</v>
      </c>
      <c r="C71" s="34" t="s">
        <v>55</v>
      </c>
      <c r="D71" s="31" t="s">
        <v>186</v>
      </c>
      <c r="E71" s="28">
        <v>27336</v>
      </c>
      <c r="F71" s="11" t="s">
        <v>226</v>
      </c>
      <c r="G71" s="27" t="s">
        <v>108</v>
      </c>
      <c r="H71" s="3" t="s">
        <v>197</v>
      </c>
      <c r="I71" s="34" t="s">
        <v>196</v>
      </c>
      <c r="J71" s="2" t="s">
        <v>195</v>
      </c>
    </row>
    <row r="72" spans="1:10" ht="112.5" x14ac:dyDescent="0.3">
      <c r="A72" s="17">
        <v>69</v>
      </c>
      <c r="B72" s="32">
        <v>916</v>
      </c>
      <c r="C72" s="34" t="s">
        <v>55</v>
      </c>
      <c r="D72" s="31" t="s">
        <v>187</v>
      </c>
      <c r="E72" s="28">
        <v>31448</v>
      </c>
      <c r="F72" s="11" t="s">
        <v>226</v>
      </c>
      <c r="G72" s="27" t="s">
        <v>108</v>
      </c>
      <c r="H72" s="3" t="s">
        <v>197</v>
      </c>
      <c r="I72" s="34" t="s">
        <v>196</v>
      </c>
      <c r="J72" s="2" t="s">
        <v>195</v>
      </c>
    </row>
    <row r="73" spans="1:10" ht="112.5" x14ac:dyDescent="0.3">
      <c r="A73" s="17">
        <v>70</v>
      </c>
      <c r="B73" s="30">
        <v>1981</v>
      </c>
      <c r="C73" s="34" t="s">
        <v>55</v>
      </c>
      <c r="D73" s="31" t="s">
        <v>188</v>
      </c>
      <c r="E73" s="28" t="s">
        <v>231</v>
      </c>
      <c r="F73" s="11" t="s">
        <v>226</v>
      </c>
      <c r="G73" s="27" t="s">
        <v>108</v>
      </c>
      <c r="H73" s="3" t="s">
        <v>197</v>
      </c>
      <c r="I73" s="34" t="s">
        <v>196</v>
      </c>
      <c r="J73" s="2" t="s">
        <v>195</v>
      </c>
    </row>
    <row r="74" spans="1:10" ht="112.5" x14ac:dyDescent="0.3">
      <c r="A74" s="17">
        <v>71</v>
      </c>
      <c r="B74" s="32">
        <v>2189</v>
      </c>
      <c r="C74" s="34" t="s">
        <v>55</v>
      </c>
      <c r="D74" s="31" t="s">
        <v>189</v>
      </c>
      <c r="E74" s="28">
        <v>36753</v>
      </c>
      <c r="F74" s="11" t="s">
        <v>226</v>
      </c>
      <c r="G74" s="27" t="s">
        <v>108</v>
      </c>
      <c r="H74" s="3" t="s">
        <v>197</v>
      </c>
      <c r="I74" s="34" t="s">
        <v>196</v>
      </c>
      <c r="J74" s="2" t="s">
        <v>195</v>
      </c>
    </row>
    <row r="75" spans="1:10" ht="112.5" x14ac:dyDescent="0.3">
      <c r="A75" s="17">
        <v>72</v>
      </c>
      <c r="B75" s="30">
        <v>2251</v>
      </c>
      <c r="C75" s="34" t="s">
        <v>55</v>
      </c>
      <c r="D75" s="31" t="s">
        <v>190</v>
      </c>
      <c r="E75" s="28">
        <v>36800</v>
      </c>
      <c r="F75" s="11" t="s">
        <v>226</v>
      </c>
      <c r="G75" s="27" t="s">
        <v>108</v>
      </c>
      <c r="H75" s="3" t="s">
        <v>197</v>
      </c>
      <c r="I75" s="34" t="s">
        <v>196</v>
      </c>
      <c r="J75" s="2" t="s">
        <v>195</v>
      </c>
    </row>
    <row r="76" spans="1:10" ht="112.5" x14ac:dyDescent="0.3">
      <c r="A76" s="17">
        <v>73</v>
      </c>
      <c r="B76" s="32">
        <v>2252</v>
      </c>
      <c r="C76" s="34" t="s">
        <v>55</v>
      </c>
      <c r="D76" s="31" t="s">
        <v>191</v>
      </c>
      <c r="E76" s="28">
        <v>37261</v>
      </c>
      <c r="F76" s="11" t="s">
        <v>226</v>
      </c>
      <c r="G76" s="27" t="s">
        <v>108</v>
      </c>
      <c r="H76" s="3" t="s">
        <v>197</v>
      </c>
      <c r="I76" s="34" t="s">
        <v>196</v>
      </c>
      <c r="J76" s="2" t="s">
        <v>195</v>
      </c>
    </row>
    <row r="77" spans="1:10" ht="112.5" x14ac:dyDescent="0.3">
      <c r="A77" s="17">
        <v>74</v>
      </c>
      <c r="B77" s="30">
        <v>2253</v>
      </c>
      <c r="C77" s="34" t="s">
        <v>55</v>
      </c>
      <c r="D77" s="31" t="s">
        <v>192</v>
      </c>
      <c r="E77" s="28">
        <v>36918</v>
      </c>
      <c r="F77" s="11" t="s">
        <v>226</v>
      </c>
      <c r="G77" s="27" t="s">
        <v>108</v>
      </c>
      <c r="H77" s="3" t="s">
        <v>197</v>
      </c>
      <c r="I77" s="34" t="s">
        <v>196</v>
      </c>
      <c r="J77" s="2" t="s">
        <v>195</v>
      </c>
    </row>
    <row r="78" spans="1:10" ht="112.5" x14ac:dyDescent="0.3">
      <c r="A78" s="17">
        <v>75</v>
      </c>
      <c r="B78" s="30">
        <v>2254</v>
      </c>
      <c r="C78" s="34" t="s">
        <v>55</v>
      </c>
      <c r="D78" s="31" t="s">
        <v>193</v>
      </c>
      <c r="E78" s="28">
        <v>37005</v>
      </c>
      <c r="F78" s="11" t="s">
        <v>226</v>
      </c>
      <c r="G78" s="27" t="s">
        <v>108</v>
      </c>
      <c r="H78" s="3" t="s">
        <v>197</v>
      </c>
      <c r="I78" s="34" t="s">
        <v>196</v>
      </c>
      <c r="J78" s="2" t="s">
        <v>195</v>
      </c>
    </row>
    <row r="79" spans="1:10" ht="112.5" x14ac:dyDescent="0.3">
      <c r="A79" s="17">
        <v>76</v>
      </c>
      <c r="B79" s="30">
        <v>2255</v>
      </c>
      <c r="C79" s="34" t="s">
        <v>55</v>
      </c>
      <c r="D79" s="31" t="s">
        <v>194</v>
      </c>
      <c r="E79" s="28">
        <v>37001</v>
      </c>
      <c r="F79" s="11" t="s">
        <v>226</v>
      </c>
      <c r="G79" s="27" t="s">
        <v>108</v>
      </c>
      <c r="H79" s="3" t="s">
        <v>197</v>
      </c>
      <c r="I79" s="34" t="s">
        <v>196</v>
      </c>
      <c r="J79" s="2" t="s">
        <v>195</v>
      </c>
    </row>
    <row r="80" spans="1:10" ht="56.25" x14ac:dyDescent="0.3">
      <c r="A80" s="17">
        <v>77</v>
      </c>
      <c r="B80" s="11">
        <v>1025</v>
      </c>
      <c r="C80" s="34" t="s">
        <v>23</v>
      </c>
      <c r="D80" s="1" t="s">
        <v>198</v>
      </c>
      <c r="E80" s="28" t="s">
        <v>130</v>
      </c>
      <c r="F80" s="11" t="s">
        <v>20</v>
      </c>
      <c r="G80" s="27" t="s">
        <v>108</v>
      </c>
      <c r="H80" s="7" t="s">
        <v>200</v>
      </c>
      <c r="I80" s="34" t="s">
        <v>196</v>
      </c>
      <c r="J80" s="11" t="s">
        <v>199</v>
      </c>
    </row>
    <row r="81" spans="1:11" ht="37.5" x14ac:dyDescent="0.3">
      <c r="A81" s="17">
        <v>78</v>
      </c>
      <c r="B81" s="7">
        <v>555</v>
      </c>
      <c r="C81" s="34" t="s">
        <v>32</v>
      </c>
      <c r="D81" s="8" t="s">
        <v>201</v>
      </c>
      <c r="E81" s="28">
        <v>28012</v>
      </c>
      <c r="F81" s="11" t="s">
        <v>232</v>
      </c>
      <c r="G81" s="27" t="s">
        <v>108</v>
      </c>
      <c r="H81" s="9" t="s">
        <v>205</v>
      </c>
      <c r="I81" s="34" t="s">
        <v>209</v>
      </c>
      <c r="J81" s="11" t="s">
        <v>206</v>
      </c>
    </row>
    <row r="82" spans="1:11" ht="37.5" x14ac:dyDescent="0.3">
      <c r="A82" s="17">
        <v>79</v>
      </c>
      <c r="B82" s="7">
        <v>596</v>
      </c>
      <c r="C82" s="34" t="s">
        <v>32</v>
      </c>
      <c r="D82" s="8" t="s">
        <v>202</v>
      </c>
      <c r="E82" s="28">
        <v>30803</v>
      </c>
      <c r="F82" s="11" t="s">
        <v>5</v>
      </c>
      <c r="G82" s="27" t="s">
        <v>108</v>
      </c>
      <c r="H82" s="9" t="s">
        <v>205</v>
      </c>
      <c r="I82" s="34" t="s">
        <v>209</v>
      </c>
      <c r="J82" s="11" t="s">
        <v>206</v>
      </c>
    </row>
    <row r="83" spans="1:11" ht="37.5" x14ac:dyDescent="0.3">
      <c r="A83" s="17">
        <v>80</v>
      </c>
      <c r="B83" s="7">
        <v>1113</v>
      </c>
      <c r="C83" s="34" t="s">
        <v>32</v>
      </c>
      <c r="D83" s="8" t="s">
        <v>203</v>
      </c>
      <c r="E83" s="28" t="s">
        <v>233</v>
      </c>
      <c r="F83" s="11" t="s">
        <v>5</v>
      </c>
      <c r="G83" s="27" t="s">
        <v>108</v>
      </c>
      <c r="H83" s="9" t="s">
        <v>205</v>
      </c>
      <c r="I83" s="34" t="s">
        <v>209</v>
      </c>
      <c r="J83" s="11" t="s">
        <v>206</v>
      </c>
    </row>
    <row r="84" spans="1:11" ht="37.5" x14ac:dyDescent="0.3">
      <c r="A84" s="17">
        <v>81</v>
      </c>
      <c r="B84" s="7">
        <v>1108</v>
      </c>
      <c r="C84" s="34" t="s">
        <v>32</v>
      </c>
      <c r="D84" s="8" t="s">
        <v>16</v>
      </c>
      <c r="E84" s="28" t="s">
        <v>17</v>
      </c>
      <c r="F84" s="11" t="s">
        <v>5</v>
      </c>
      <c r="G84" s="27" t="s">
        <v>108</v>
      </c>
      <c r="H84" s="9" t="s">
        <v>205</v>
      </c>
      <c r="I84" s="34" t="s">
        <v>209</v>
      </c>
      <c r="J84" s="11" t="s">
        <v>206</v>
      </c>
    </row>
    <row r="85" spans="1:11" ht="37.5" x14ac:dyDescent="0.3">
      <c r="A85" s="17">
        <v>82</v>
      </c>
      <c r="B85" s="7">
        <v>1107</v>
      </c>
      <c r="C85" s="34" t="s">
        <v>32</v>
      </c>
      <c r="D85" s="8" t="s">
        <v>204</v>
      </c>
      <c r="E85" s="28" t="s">
        <v>39</v>
      </c>
      <c r="F85" s="11" t="s">
        <v>5</v>
      </c>
      <c r="G85" s="27" t="s">
        <v>108</v>
      </c>
      <c r="H85" s="9" t="s">
        <v>205</v>
      </c>
      <c r="I85" s="34" t="s">
        <v>209</v>
      </c>
      <c r="J85" s="11" t="s">
        <v>206</v>
      </c>
    </row>
    <row r="86" spans="1:11" ht="75" x14ac:dyDescent="0.3">
      <c r="A86" s="17">
        <v>83</v>
      </c>
      <c r="B86" s="11">
        <v>989</v>
      </c>
      <c r="C86" s="34" t="s">
        <v>35</v>
      </c>
      <c r="D86" s="22" t="s">
        <v>207</v>
      </c>
      <c r="E86" s="28" t="s">
        <v>234</v>
      </c>
      <c r="F86" s="11" t="s">
        <v>20</v>
      </c>
      <c r="G86" s="27" t="s">
        <v>66</v>
      </c>
      <c r="H86" s="34" t="s">
        <v>208</v>
      </c>
      <c r="I86" s="34" t="s">
        <v>156</v>
      </c>
      <c r="J86" s="11" t="s">
        <v>126</v>
      </c>
    </row>
    <row r="87" spans="1:11" ht="37.5" x14ac:dyDescent="0.3">
      <c r="A87" s="17">
        <v>84</v>
      </c>
      <c r="B87" s="11">
        <v>793</v>
      </c>
      <c r="C87" s="34" t="s">
        <v>235</v>
      </c>
      <c r="D87" s="29" t="s">
        <v>161</v>
      </c>
      <c r="E87" s="28">
        <v>27708</v>
      </c>
      <c r="F87" s="11" t="s">
        <v>20</v>
      </c>
      <c r="G87" s="27" t="s">
        <v>108</v>
      </c>
      <c r="H87" s="3" t="s">
        <v>210</v>
      </c>
      <c r="I87" s="34" t="s">
        <v>156</v>
      </c>
      <c r="J87" s="10">
        <v>46180</v>
      </c>
      <c r="K87" s="12" t="s">
        <v>132</v>
      </c>
    </row>
    <row r="88" spans="1:11" ht="37.5" x14ac:dyDescent="0.3">
      <c r="A88" s="17">
        <v>85</v>
      </c>
      <c r="B88" s="11"/>
      <c r="C88" s="34" t="s">
        <v>49</v>
      </c>
      <c r="D88" s="6" t="s">
        <v>163</v>
      </c>
      <c r="E88" s="33" t="s">
        <v>237</v>
      </c>
      <c r="F88" s="11" t="s">
        <v>236</v>
      </c>
      <c r="G88" s="27" t="s">
        <v>108</v>
      </c>
      <c r="H88" s="3" t="s">
        <v>210</v>
      </c>
      <c r="I88" s="34" t="s">
        <v>156</v>
      </c>
      <c r="J88" s="10">
        <v>46180</v>
      </c>
      <c r="K88" s="12" t="s">
        <v>132</v>
      </c>
    </row>
    <row r="89" spans="1:11" ht="56.25" x14ac:dyDescent="0.3">
      <c r="A89" s="17">
        <v>85</v>
      </c>
      <c r="B89" s="11">
        <v>319</v>
      </c>
      <c r="C89" s="34" t="s">
        <v>14</v>
      </c>
      <c r="D89" s="22" t="s">
        <v>72</v>
      </c>
      <c r="E89" s="28">
        <v>25601</v>
      </c>
      <c r="F89" s="11" t="s">
        <v>20</v>
      </c>
      <c r="G89" s="27" t="s">
        <v>108</v>
      </c>
      <c r="H89" s="3" t="s">
        <v>211</v>
      </c>
      <c r="I89" s="34" t="s">
        <v>209</v>
      </c>
      <c r="J89" s="11" t="s">
        <v>212</v>
      </c>
    </row>
    <row r="90" spans="1:11" ht="37.5" x14ac:dyDescent="0.3">
      <c r="A90" s="17">
        <v>85</v>
      </c>
      <c r="B90" s="11">
        <v>1318</v>
      </c>
      <c r="C90" s="34" t="s">
        <v>19</v>
      </c>
      <c r="D90" s="22" t="s">
        <v>62</v>
      </c>
      <c r="E90" s="28">
        <v>29290</v>
      </c>
      <c r="F90" s="11" t="s">
        <v>48</v>
      </c>
      <c r="G90" s="27"/>
      <c r="H90" s="34" t="s">
        <v>214</v>
      </c>
      <c r="I90" s="34" t="s">
        <v>209</v>
      </c>
      <c r="J90" s="11"/>
    </row>
    <row r="91" spans="1:11" ht="37.5" x14ac:dyDescent="0.3">
      <c r="A91" s="17">
        <v>85</v>
      </c>
      <c r="B91" s="11">
        <v>1385</v>
      </c>
      <c r="C91" s="34" t="s">
        <v>19</v>
      </c>
      <c r="D91" s="22" t="s">
        <v>215</v>
      </c>
      <c r="E91" s="28" t="s">
        <v>127</v>
      </c>
      <c r="F91" s="11" t="s">
        <v>12</v>
      </c>
      <c r="G91" s="27"/>
      <c r="H91" s="34" t="s">
        <v>214</v>
      </c>
      <c r="I91" s="34"/>
      <c r="J91" s="11"/>
    </row>
    <row r="92" spans="1:11" x14ac:dyDescent="0.3">
      <c r="A92" s="17">
        <v>85</v>
      </c>
      <c r="B92" s="11">
        <v>111</v>
      </c>
      <c r="C92" s="34" t="s">
        <v>32</v>
      </c>
      <c r="D92" s="22" t="s">
        <v>213</v>
      </c>
      <c r="E92" s="33" t="s">
        <v>237</v>
      </c>
      <c r="F92" s="11" t="s">
        <v>5</v>
      </c>
      <c r="G92" s="27"/>
      <c r="H92" s="34" t="s">
        <v>214</v>
      </c>
      <c r="I92" s="34"/>
      <c r="J92" s="11"/>
    </row>
  </sheetData>
  <mergeCells count="1">
    <mergeCell ref="A1:J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E11" sqref="E11"/>
    </sheetView>
  </sheetViews>
  <sheetFormatPr defaultColWidth="8.85546875" defaultRowHeight="18.75" x14ac:dyDescent="0.3"/>
  <cols>
    <col min="1" max="1" width="6.5703125" style="12" customWidth="1"/>
    <col min="2" max="2" width="8.85546875" style="12"/>
    <col min="3" max="3" width="28.42578125" style="24" customWidth="1"/>
    <col min="4" max="4" width="15.28515625" style="25" customWidth="1"/>
    <col min="5" max="5" width="30.85546875" style="26" customWidth="1"/>
    <col min="6" max="6" width="20.5703125" style="26" customWidth="1"/>
    <col min="7" max="7" width="30.140625" style="12" customWidth="1"/>
    <col min="8" max="8" width="16.85546875" style="12" customWidth="1"/>
    <col min="9" max="16384" width="8.85546875" style="12"/>
  </cols>
  <sheetData>
    <row r="1" spans="1:8" x14ac:dyDescent="0.3">
      <c r="A1" s="36" t="s">
        <v>144</v>
      </c>
      <c r="B1" s="36"/>
      <c r="C1" s="36"/>
      <c r="D1" s="36"/>
      <c r="E1" s="36"/>
      <c r="F1" s="36"/>
      <c r="G1" s="36"/>
      <c r="H1" s="36"/>
    </row>
    <row r="3" spans="1:8" ht="39" customHeight="1" x14ac:dyDescent="0.3">
      <c r="A3" s="13" t="s">
        <v>0</v>
      </c>
      <c r="B3" s="13" t="s">
        <v>56</v>
      </c>
      <c r="C3" s="14" t="s">
        <v>57</v>
      </c>
      <c r="D3" s="15" t="s">
        <v>58</v>
      </c>
      <c r="E3" s="13" t="s">
        <v>59</v>
      </c>
      <c r="F3" s="16" t="s">
        <v>131</v>
      </c>
      <c r="G3" s="13" t="s">
        <v>80</v>
      </c>
      <c r="H3" s="13" t="s">
        <v>142</v>
      </c>
    </row>
    <row r="4" spans="1:8" x14ac:dyDescent="0.3">
      <c r="A4" s="17">
        <v>1</v>
      </c>
      <c r="B4" s="11">
        <v>1</v>
      </c>
      <c r="C4" s="22" t="s">
        <v>70</v>
      </c>
      <c r="D4" s="19">
        <v>25448</v>
      </c>
      <c r="E4" s="17" t="s">
        <v>64</v>
      </c>
      <c r="F4" s="17" t="s">
        <v>48</v>
      </c>
      <c r="G4" s="23" t="s">
        <v>71</v>
      </c>
      <c r="H4" s="23"/>
    </row>
    <row r="5" spans="1:8" x14ac:dyDescent="0.3">
      <c r="A5" s="17">
        <f t="shared" ref="A5:A10" si="0">A4+1</f>
        <v>2</v>
      </c>
      <c r="B5" s="11">
        <v>319</v>
      </c>
      <c r="C5" s="22" t="s">
        <v>72</v>
      </c>
      <c r="D5" s="19">
        <v>25601</v>
      </c>
      <c r="E5" s="17" t="s">
        <v>14</v>
      </c>
      <c r="F5" s="17" t="s">
        <v>20</v>
      </c>
      <c r="G5" s="23" t="s">
        <v>71</v>
      </c>
      <c r="H5" s="23"/>
    </row>
    <row r="6" spans="1:8" x14ac:dyDescent="0.3">
      <c r="A6" s="17">
        <f t="shared" si="0"/>
        <v>3</v>
      </c>
      <c r="B6" s="11">
        <v>326</v>
      </c>
      <c r="C6" s="22" t="s">
        <v>73</v>
      </c>
      <c r="D6" s="19">
        <v>30890</v>
      </c>
      <c r="E6" s="17" t="s">
        <v>1</v>
      </c>
      <c r="F6" s="17" t="s">
        <v>48</v>
      </c>
      <c r="G6" s="23" t="s">
        <v>71</v>
      </c>
      <c r="H6" s="23"/>
    </row>
    <row r="7" spans="1:8" x14ac:dyDescent="0.3">
      <c r="A7" s="17">
        <f t="shared" si="0"/>
        <v>4</v>
      </c>
      <c r="B7" s="11">
        <v>1024</v>
      </c>
      <c r="C7" s="22" t="s">
        <v>74</v>
      </c>
      <c r="D7" s="19">
        <v>32739</v>
      </c>
      <c r="E7" s="17" t="s">
        <v>6</v>
      </c>
      <c r="F7" s="17" t="s">
        <v>48</v>
      </c>
      <c r="G7" s="23" t="s">
        <v>71</v>
      </c>
      <c r="H7" s="23"/>
    </row>
    <row r="8" spans="1:8" x14ac:dyDescent="0.3">
      <c r="A8" s="17">
        <f t="shared" si="0"/>
        <v>5</v>
      </c>
      <c r="B8" s="11">
        <v>1940</v>
      </c>
      <c r="C8" s="22" t="s">
        <v>44</v>
      </c>
      <c r="D8" s="19" t="s">
        <v>45</v>
      </c>
      <c r="E8" s="17" t="s">
        <v>14</v>
      </c>
      <c r="F8" s="17" t="s">
        <v>11</v>
      </c>
      <c r="G8" s="23" t="s">
        <v>71</v>
      </c>
      <c r="H8" s="23"/>
    </row>
    <row r="9" spans="1:8" x14ac:dyDescent="0.3">
      <c r="A9" s="17">
        <f t="shared" si="0"/>
        <v>6</v>
      </c>
      <c r="B9" s="11">
        <v>1325</v>
      </c>
      <c r="C9" s="22" t="s">
        <v>75</v>
      </c>
      <c r="D9" s="19">
        <v>33690</v>
      </c>
      <c r="E9" s="17" t="s">
        <v>6</v>
      </c>
      <c r="F9" s="17" t="s">
        <v>12</v>
      </c>
      <c r="G9" s="23" t="s">
        <v>71</v>
      </c>
      <c r="H9" s="23"/>
    </row>
    <row r="10" spans="1:8" x14ac:dyDescent="0.3">
      <c r="A10" s="17">
        <f t="shared" si="0"/>
        <v>7</v>
      </c>
      <c r="B10" s="11">
        <v>45</v>
      </c>
      <c r="C10" s="22" t="s">
        <v>76</v>
      </c>
      <c r="D10" s="19">
        <v>29104</v>
      </c>
      <c r="E10" s="17" t="s">
        <v>33</v>
      </c>
      <c r="F10" s="17" t="s">
        <v>125</v>
      </c>
      <c r="G10" s="23" t="s">
        <v>71</v>
      </c>
      <c r="H10" s="23"/>
    </row>
  </sheetData>
  <autoFilter ref="A3:T3" xr:uid="{00000000-0009-0000-0000-000001000000}"/>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Hội nghị HT</vt:lpstr>
      <vt:lpstr>Tập  huấn NCKH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 Ngo</dc:creator>
  <cp:lastModifiedBy>HOSPITAL</cp:lastModifiedBy>
  <cp:lastPrinted>2026-08-19T01:19:28Z</cp:lastPrinted>
  <dcterms:created xsi:type="dcterms:W3CDTF">2026-03-10T06:58:48Z</dcterms:created>
  <dcterms:modified xsi:type="dcterms:W3CDTF">2026-08-25T09:09:30Z</dcterms:modified>
</cp:coreProperties>
</file>